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9_verify_asymptote/"/>
    </mc:Choice>
  </mc:AlternateContent>
  <xr:revisionPtr revIDLastSave="0" documentId="13_ncr:1_{A53DB0F6-1CFD-524C-9B03-504B144A9D87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number_conds_12_conditions" sheetId="1" r:id="rId1"/>
    <sheet name="number_conds_10_cond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C21" i="2" s="1"/>
  <c r="D21" i="2" s="1"/>
  <c r="E20" i="2"/>
  <c r="C20" i="2" s="1"/>
  <c r="D20" i="2" s="1"/>
  <c r="E19" i="2"/>
  <c r="C19" i="2" s="1"/>
  <c r="D19" i="2" s="1"/>
  <c r="E18" i="2"/>
  <c r="C18" i="2" s="1"/>
  <c r="D18" i="2" s="1"/>
  <c r="E17" i="2"/>
  <c r="C17" i="2" s="1"/>
  <c r="D17" i="2" s="1"/>
  <c r="E16" i="2"/>
  <c r="C16" i="2" s="1"/>
  <c r="D16" i="2" s="1"/>
  <c r="E15" i="2"/>
  <c r="C15" i="2" s="1"/>
  <c r="D15" i="2" s="1"/>
  <c r="E14" i="2"/>
  <c r="C14" i="2" s="1"/>
  <c r="D14" i="2" s="1"/>
  <c r="E13" i="2"/>
  <c r="C13" i="2" s="1"/>
  <c r="D13" i="2" s="1"/>
  <c r="E12" i="2"/>
  <c r="C12" i="2" s="1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K4" i="2"/>
  <c r="J4" i="2"/>
  <c r="C4" i="2"/>
  <c r="D4" i="2" s="1"/>
  <c r="K3" i="2"/>
  <c r="J3" i="2"/>
  <c r="C3" i="2"/>
  <c r="D3" i="2" s="1"/>
  <c r="K2" i="2"/>
  <c r="J2" i="2"/>
  <c r="L2" i="2" s="1"/>
  <c r="C2" i="2"/>
  <c r="D2" i="2" s="1"/>
  <c r="C25" i="1"/>
  <c r="D25" i="1" s="1"/>
  <c r="C24" i="1"/>
  <c r="C23" i="1"/>
  <c r="C22" i="1"/>
  <c r="C21" i="1"/>
  <c r="C20" i="1"/>
  <c r="C19" i="1"/>
  <c r="C18" i="1"/>
  <c r="C17" i="1"/>
  <c r="C16" i="1"/>
  <c r="C15" i="1"/>
  <c r="C14" i="1"/>
  <c r="C13" i="1"/>
  <c r="D13" i="1" s="1"/>
  <c r="C12" i="1"/>
  <c r="C11" i="1"/>
  <c r="D11" i="1" s="1"/>
  <c r="C10" i="1"/>
  <c r="D10" i="1" s="1"/>
  <c r="C9" i="1"/>
  <c r="D9" i="1" s="1"/>
  <c r="C8" i="1"/>
  <c r="D8" i="1" s="1"/>
  <c r="C7" i="1"/>
  <c r="C6" i="1"/>
  <c r="C5" i="1"/>
  <c r="C4" i="1"/>
  <c r="C3" i="1"/>
  <c r="C2" i="1"/>
  <c r="D23" i="1"/>
  <c r="D22" i="1"/>
  <c r="D17" i="1"/>
  <c r="D12" i="1"/>
  <c r="D7" i="1"/>
  <c r="D6" i="1"/>
  <c r="D5" i="1"/>
  <c r="D4" i="1"/>
  <c r="D3" i="1"/>
  <c r="D2" i="1"/>
  <c r="E16" i="1"/>
  <c r="E23" i="1"/>
  <c r="E22" i="1"/>
  <c r="E21" i="1"/>
  <c r="E20" i="1"/>
  <c r="E19" i="1"/>
  <c r="E18" i="1"/>
  <c r="E17" i="1"/>
  <c r="E25" i="1"/>
  <c r="L4" i="2" l="1"/>
  <c r="K12" i="2"/>
  <c r="K13" i="2"/>
  <c r="J14" i="2"/>
  <c r="K14" i="2"/>
  <c r="L3" i="2"/>
  <c r="J13" i="2"/>
  <c r="J12" i="2"/>
  <c r="L12" i="2" s="1"/>
  <c r="D16" i="1"/>
  <c r="D21" i="1"/>
  <c r="D18" i="1"/>
  <c r="D19" i="1"/>
  <c r="D20" i="1"/>
  <c r="E15" i="1"/>
  <c r="D15" i="1" s="1"/>
  <c r="E24" i="1"/>
  <c r="D24" i="1" s="1"/>
  <c r="J3" i="1"/>
  <c r="E14" i="1"/>
  <c r="K4" i="1"/>
  <c r="K2" i="1"/>
  <c r="K3" i="1"/>
  <c r="J2" i="1"/>
  <c r="L13" i="2" l="1"/>
  <c r="L14" i="2"/>
  <c r="D14" i="1"/>
  <c r="K16" i="1"/>
  <c r="K15" i="1"/>
  <c r="K14" i="1"/>
  <c r="J16" i="1"/>
  <c r="L16" i="1" s="1"/>
  <c r="J15" i="1"/>
  <c r="J14" i="1"/>
  <c r="L2" i="1"/>
  <c r="J4" i="1"/>
  <c r="L4" i="1" s="1"/>
  <c r="L3" i="1"/>
  <c r="L15" i="1" l="1"/>
  <c r="L14" i="1"/>
</calcChain>
</file>

<file path=xl/sharedStrings.xml><?xml version="1.0" encoding="utf-8"?>
<sst xmlns="http://schemas.openxmlformats.org/spreadsheetml/2006/main" count="88" uniqueCount="19">
  <si>
    <t>n_victims</t>
  </si>
  <si>
    <t>n_saved</t>
  </si>
  <si>
    <t>n_total</t>
  </si>
  <si>
    <t>experiments</t>
  </si>
  <si>
    <t>N</t>
  </si>
  <si>
    <t>Ratio range</t>
  </si>
  <si>
    <t>Victims sum</t>
  </si>
  <si>
    <t>Victims average</t>
  </si>
  <si>
    <t>Ratio range2</t>
  </si>
  <si>
    <t>&lt;1000000</t>
  </si>
  <si>
    <t>counterbalancing_group</t>
  </si>
  <si>
    <t>ratio_saved_victims</t>
  </si>
  <si>
    <t>&lt;=1000</t>
  </si>
  <si>
    <t>&lt;=5000</t>
  </si>
  <si>
    <t>&gt;5000</t>
  </si>
  <si>
    <t>&gt;1000</t>
  </si>
  <si>
    <t>9a (neutral, - verify assymptoe)</t>
  </si>
  <si>
    <t>Note</t>
  </si>
  <si>
    <t>We remove the hospital and the station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</si>
</sst>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quotePrefix="1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A28" sqref="A28"/>
    </sheetView>
  </sheetViews>
  <sheetFormatPr baseColWidth="10" defaultRowHeight="16"/>
  <cols>
    <col min="1" max="1" width="20.140625" bestFit="1" customWidth="1"/>
  </cols>
  <sheetData>
    <row r="1" spans="1:12">
      <c r="A1" t="s">
        <v>10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f>B2*E2</f>
        <v>120000</v>
      </c>
      <c r="D2" s="3">
        <f>B2+C2</f>
        <v>120300</v>
      </c>
      <c r="E2" s="3">
        <v>400</v>
      </c>
      <c r="F2" s="3" t="s">
        <v>16</v>
      </c>
      <c r="H2" t="s">
        <v>12</v>
      </c>
      <c r="J2">
        <f>SUMIFS($B$2:$B$13,$E$2:$E$13,H2)</f>
        <v>350</v>
      </c>
      <c r="K2">
        <f>COUNTIFS($E$2:$E$13,H2)</f>
        <v>4</v>
      </c>
      <c r="L2">
        <f>J2/K2</f>
        <v>87.5</v>
      </c>
    </row>
    <row r="3" spans="1:12">
      <c r="A3">
        <v>1</v>
      </c>
      <c r="B3" s="3">
        <v>20</v>
      </c>
      <c r="C3" s="3">
        <f t="shared" ref="C3:C25" si="0">B3*E3</f>
        <v>12000</v>
      </c>
      <c r="D3" s="3">
        <f>B3+C3</f>
        <v>12020</v>
      </c>
      <c r="E3" s="3">
        <v>600</v>
      </c>
      <c r="F3" s="3" t="s">
        <v>16</v>
      </c>
      <c r="H3" s="1" t="s">
        <v>15</v>
      </c>
      <c r="I3" t="s">
        <v>13</v>
      </c>
      <c r="J3">
        <f>SUMIFS($B$2:$B$13,$E$2:$E$13,H3,$E$2:$E$13,I3)</f>
        <v>260</v>
      </c>
      <c r="K3">
        <f>COUNTIFS($E$2:$E$13,H3,$E$2:$E$13,I3)</f>
        <v>5</v>
      </c>
      <c r="L3">
        <f>J3/K3</f>
        <v>52</v>
      </c>
    </row>
    <row r="4" spans="1:12">
      <c r="A4">
        <v>1</v>
      </c>
      <c r="B4" s="3">
        <v>10</v>
      </c>
      <c r="C4" s="3">
        <f t="shared" si="0"/>
        <v>8000</v>
      </c>
      <c r="D4" s="3">
        <f>B4+C4</f>
        <v>8010</v>
      </c>
      <c r="E4" s="3">
        <v>800</v>
      </c>
      <c r="F4" s="3" t="s">
        <v>16</v>
      </c>
      <c r="H4" t="s">
        <v>14</v>
      </c>
      <c r="I4" t="s">
        <v>9</v>
      </c>
      <c r="J4">
        <f>SUMIFS($B$2:$B$13,$E$2:$E$13,H4,$E$2:$E$13,I4)</f>
        <v>240</v>
      </c>
      <c r="K4">
        <f>COUNTIFS($E$2:$E$13,H4,$E$2:$E$13,I4)</f>
        <v>3</v>
      </c>
      <c r="L4">
        <f>J4/K4</f>
        <v>80</v>
      </c>
    </row>
    <row r="5" spans="1:12">
      <c r="A5">
        <v>1</v>
      </c>
      <c r="B5" s="3">
        <v>20</v>
      </c>
      <c r="C5" s="3">
        <f t="shared" si="0"/>
        <v>20000</v>
      </c>
      <c r="D5" s="3">
        <f>B5+C5</f>
        <v>20020</v>
      </c>
      <c r="E5" s="3">
        <v>1000</v>
      </c>
      <c r="F5" s="3" t="s">
        <v>16</v>
      </c>
    </row>
    <row r="6" spans="1:12">
      <c r="A6">
        <v>1</v>
      </c>
      <c r="B6" s="4">
        <v>40</v>
      </c>
      <c r="C6" s="4">
        <f t="shared" si="0"/>
        <v>60000</v>
      </c>
      <c r="D6" s="4">
        <f t="shared" ref="D6:D25" si="1">B6+C6</f>
        <v>60040</v>
      </c>
      <c r="E6" s="4">
        <v>1500</v>
      </c>
      <c r="F6" s="4" t="s">
        <v>16</v>
      </c>
    </row>
    <row r="7" spans="1:12">
      <c r="A7">
        <v>1</v>
      </c>
      <c r="B7" s="4">
        <v>50</v>
      </c>
      <c r="C7" s="4">
        <f t="shared" si="0"/>
        <v>100000</v>
      </c>
      <c r="D7" s="4">
        <f t="shared" si="1"/>
        <v>100050</v>
      </c>
      <c r="E7" s="4">
        <v>2000</v>
      </c>
      <c r="F7" s="4" t="s">
        <v>16</v>
      </c>
    </row>
    <row r="8" spans="1:12">
      <c r="A8">
        <v>1</v>
      </c>
      <c r="B8" s="4">
        <v>30</v>
      </c>
      <c r="C8" s="4">
        <f t="shared" si="0"/>
        <v>90000</v>
      </c>
      <c r="D8" s="4">
        <f t="shared" si="1"/>
        <v>90030</v>
      </c>
      <c r="E8" s="4">
        <v>3000</v>
      </c>
      <c r="F8" s="4" t="s">
        <v>16</v>
      </c>
    </row>
    <row r="9" spans="1:12">
      <c r="A9">
        <v>1</v>
      </c>
      <c r="B9" s="4">
        <v>100</v>
      </c>
      <c r="C9" s="4">
        <f t="shared" si="0"/>
        <v>400000</v>
      </c>
      <c r="D9" s="4">
        <f t="shared" si="1"/>
        <v>400100</v>
      </c>
      <c r="E9" s="4">
        <v>4000</v>
      </c>
      <c r="F9" s="4" t="s">
        <v>16</v>
      </c>
    </row>
    <row r="10" spans="1:12">
      <c r="A10">
        <v>1</v>
      </c>
      <c r="B10" s="4">
        <v>40</v>
      </c>
      <c r="C10" s="4">
        <f t="shared" si="0"/>
        <v>200000</v>
      </c>
      <c r="D10" s="4">
        <f t="shared" si="1"/>
        <v>200040</v>
      </c>
      <c r="E10" s="4">
        <v>5000</v>
      </c>
      <c r="F10" s="4" t="s">
        <v>16</v>
      </c>
    </row>
    <row r="11" spans="1:12">
      <c r="A11">
        <v>1</v>
      </c>
      <c r="B11" s="5">
        <v>10</v>
      </c>
      <c r="C11" s="5">
        <f t="shared" si="0"/>
        <v>100000</v>
      </c>
      <c r="D11" s="5">
        <f t="shared" si="1"/>
        <v>100010</v>
      </c>
      <c r="E11" s="5">
        <v>10000</v>
      </c>
      <c r="F11" s="5" t="s">
        <v>16</v>
      </c>
    </row>
    <row r="12" spans="1:12">
      <c r="A12">
        <v>1</v>
      </c>
      <c r="B12" s="5">
        <v>200</v>
      </c>
      <c r="C12" s="5">
        <f t="shared" si="0"/>
        <v>3000000</v>
      </c>
      <c r="D12" s="5">
        <f t="shared" si="1"/>
        <v>3000200</v>
      </c>
      <c r="E12" s="5">
        <v>15000</v>
      </c>
      <c r="F12" s="5" t="s">
        <v>16</v>
      </c>
    </row>
    <row r="13" spans="1:12">
      <c r="A13">
        <v>1</v>
      </c>
      <c r="B13" s="5">
        <v>30</v>
      </c>
      <c r="C13" s="5">
        <f t="shared" si="0"/>
        <v>600000</v>
      </c>
      <c r="D13" s="5">
        <f t="shared" si="1"/>
        <v>600030</v>
      </c>
      <c r="E13" s="5">
        <v>20000</v>
      </c>
      <c r="F13" s="5" t="s">
        <v>16</v>
      </c>
    </row>
    <row r="14" spans="1:12">
      <c r="A14">
        <v>2</v>
      </c>
      <c r="B14" s="4">
        <v>30</v>
      </c>
      <c r="C14">
        <f t="shared" si="0"/>
        <v>12000</v>
      </c>
      <c r="D14" s="6">
        <f t="shared" si="1"/>
        <v>12030</v>
      </c>
      <c r="E14" s="6">
        <f>E2</f>
        <v>400</v>
      </c>
      <c r="F14" s="3" t="s">
        <v>16</v>
      </c>
      <c r="H14" t="s">
        <v>12</v>
      </c>
      <c r="J14">
        <f>SUMIFS($B$14:$B$25,$E$14:$E$25,H14)</f>
        <v>320</v>
      </c>
      <c r="K14">
        <f>COUNTIFS($E$14:$E$25,H14)</f>
        <v>4</v>
      </c>
      <c r="L14">
        <f>J14/K14</f>
        <v>80</v>
      </c>
    </row>
    <row r="15" spans="1:12">
      <c r="A15">
        <v>2</v>
      </c>
      <c r="B15" s="4">
        <v>50</v>
      </c>
      <c r="C15">
        <f t="shared" si="0"/>
        <v>30000</v>
      </c>
      <c r="D15" s="6">
        <f t="shared" si="1"/>
        <v>30050</v>
      </c>
      <c r="E15" s="6">
        <f t="shared" ref="E15:E25" si="2">E3</f>
        <v>600</v>
      </c>
      <c r="F15" s="3" t="s">
        <v>16</v>
      </c>
      <c r="H15" s="1" t="s">
        <v>15</v>
      </c>
      <c r="I15" t="s">
        <v>13</v>
      </c>
      <c r="J15">
        <f>SUMIFS($B$14:$B$25,$E$14:$E$25,H15,$E$14:$E$25,I15)</f>
        <v>370</v>
      </c>
      <c r="K15">
        <f>COUNTIFS($E$14:$E$25,H15,$E$14:$E$25,I15)</f>
        <v>5</v>
      </c>
      <c r="L15">
        <f>J15/K15</f>
        <v>74</v>
      </c>
    </row>
    <row r="16" spans="1:12">
      <c r="A16">
        <v>2</v>
      </c>
      <c r="B16" s="4">
        <v>40</v>
      </c>
      <c r="C16">
        <f t="shared" si="0"/>
        <v>32000</v>
      </c>
      <c r="D16" s="6">
        <f t="shared" si="1"/>
        <v>32040</v>
      </c>
      <c r="E16" s="6">
        <f t="shared" si="2"/>
        <v>800</v>
      </c>
      <c r="F16" s="3" t="s">
        <v>16</v>
      </c>
      <c r="H16" t="s">
        <v>14</v>
      </c>
      <c r="I16" t="s">
        <v>9</v>
      </c>
      <c r="J16">
        <f>SUMIFS($B$14:$B$25,$E$14:$E$25,H16,$E$14:$E$25,I16)</f>
        <v>160</v>
      </c>
      <c r="K16">
        <f>COUNTIFS($E$14:$E$25,H16,$E$14:$E$25,I16)</f>
        <v>3</v>
      </c>
      <c r="L16">
        <f>J16/K16</f>
        <v>53.333333333333336</v>
      </c>
    </row>
    <row r="17" spans="1:6">
      <c r="A17">
        <v>2</v>
      </c>
      <c r="B17" s="5">
        <v>200</v>
      </c>
      <c r="C17">
        <f t="shared" si="0"/>
        <v>200000</v>
      </c>
      <c r="D17" s="6">
        <f t="shared" si="1"/>
        <v>200200</v>
      </c>
      <c r="E17" s="6">
        <f t="shared" si="2"/>
        <v>1000</v>
      </c>
      <c r="F17" s="3" t="s">
        <v>16</v>
      </c>
    </row>
    <row r="18" spans="1:6">
      <c r="A18">
        <v>2</v>
      </c>
      <c r="B18" s="3">
        <v>300</v>
      </c>
      <c r="C18">
        <f t="shared" si="0"/>
        <v>450000</v>
      </c>
      <c r="D18" s="7">
        <f t="shared" si="1"/>
        <v>450300</v>
      </c>
      <c r="E18" s="7">
        <f t="shared" si="2"/>
        <v>1500</v>
      </c>
      <c r="F18" s="4" t="s">
        <v>16</v>
      </c>
    </row>
    <row r="19" spans="1:6">
      <c r="A19">
        <v>2</v>
      </c>
      <c r="B19" s="3">
        <v>20</v>
      </c>
      <c r="C19">
        <f t="shared" si="0"/>
        <v>40000</v>
      </c>
      <c r="D19" s="7">
        <f t="shared" si="1"/>
        <v>40020</v>
      </c>
      <c r="E19" s="7">
        <f t="shared" si="2"/>
        <v>2000</v>
      </c>
      <c r="F19" s="4" t="s">
        <v>16</v>
      </c>
    </row>
    <row r="20" spans="1:6">
      <c r="A20">
        <v>2</v>
      </c>
      <c r="B20" s="3">
        <v>10</v>
      </c>
      <c r="C20">
        <f t="shared" si="0"/>
        <v>30000</v>
      </c>
      <c r="D20" s="7">
        <f t="shared" si="1"/>
        <v>30010</v>
      </c>
      <c r="E20" s="7">
        <f t="shared" si="2"/>
        <v>3000</v>
      </c>
      <c r="F20" s="4" t="s">
        <v>16</v>
      </c>
    </row>
    <row r="21" spans="1:6">
      <c r="A21">
        <v>2</v>
      </c>
      <c r="B21" s="5">
        <v>10</v>
      </c>
      <c r="C21">
        <f t="shared" si="0"/>
        <v>40000</v>
      </c>
      <c r="D21" s="7">
        <f t="shared" si="1"/>
        <v>40010</v>
      </c>
      <c r="E21" s="7">
        <f t="shared" si="2"/>
        <v>4000</v>
      </c>
      <c r="F21" s="4" t="s">
        <v>16</v>
      </c>
    </row>
    <row r="22" spans="1:6">
      <c r="A22">
        <v>2</v>
      </c>
      <c r="B22" s="5">
        <v>30</v>
      </c>
      <c r="C22">
        <f t="shared" si="0"/>
        <v>150000</v>
      </c>
      <c r="D22" s="7">
        <f t="shared" si="1"/>
        <v>150030</v>
      </c>
      <c r="E22" s="7">
        <f t="shared" si="2"/>
        <v>5000</v>
      </c>
      <c r="F22" s="4" t="s">
        <v>16</v>
      </c>
    </row>
    <row r="23" spans="1:6">
      <c r="A23">
        <v>2</v>
      </c>
      <c r="B23" s="4">
        <v>40</v>
      </c>
      <c r="C23">
        <f t="shared" si="0"/>
        <v>400000</v>
      </c>
      <c r="D23" s="8">
        <f t="shared" si="1"/>
        <v>400040</v>
      </c>
      <c r="E23" s="8">
        <f t="shared" si="2"/>
        <v>10000</v>
      </c>
      <c r="F23" s="5" t="s">
        <v>16</v>
      </c>
    </row>
    <row r="24" spans="1:6">
      <c r="A24">
        <v>2</v>
      </c>
      <c r="B24" s="3">
        <v>20</v>
      </c>
      <c r="C24">
        <f t="shared" si="0"/>
        <v>300000</v>
      </c>
      <c r="D24" s="8">
        <f t="shared" si="1"/>
        <v>300020</v>
      </c>
      <c r="E24" s="8">
        <f t="shared" si="2"/>
        <v>15000</v>
      </c>
      <c r="F24" s="5" t="s">
        <v>16</v>
      </c>
    </row>
    <row r="25" spans="1:6">
      <c r="A25">
        <v>2</v>
      </c>
      <c r="B25" s="4">
        <v>100</v>
      </c>
      <c r="C25">
        <f t="shared" si="0"/>
        <v>2000000</v>
      </c>
      <c r="D25" s="8">
        <f t="shared" si="1"/>
        <v>2000100</v>
      </c>
      <c r="E25" s="8">
        <f t="shared" si="2"/>
        <v>20000</v>
      </c>
      <c r="F25" s="5" t="s">
        <v>16</v>
      </c>
    </row>
  </sheetData>
  <sortState xmlns:xlrd2="http://schemas.microsoft.com/office/spreadsheetml/2017/richdata2" ref="B2:F13">
    <sortCondition ref="E2:E13"/>
    <sortCondition ref="B2:B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A6A9-BA73-034F-B8CF-BAD72A9F79D8}">
  <dimension ref="A1:L26"/>
  <sheetViews>
    <sheetView tabSelected="1" workbookViewId="0">
      <selection activeCell="A27" sqref="A27"/>
    </sheetView>
  </sheetViews>
  <sheetFormatPr baseColWidth="10" defaultRowHeight="16"/>
  <cols>
    <col min="1" max="1" width="20.140625" bestFit="1" customWidth="1"/>
  </cols>
  <sheetData>
    <row r="1" spans="1:12">
      <c r="A1" t="s">
        <v>10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f>B2*E2</f>
        <v>120000</v>
      </c>
      <c r="D2" s="3">
        <f>B2+C2</f>
        <v>120300</v>
      </c>
      <c r="E2" s="3">
        <v>400</v>
      </c>
      <c r="F2" s="3" t="s">
        <v>16</v>
      </c>
      <c r="H2" t="s">
        <v>12</v>
      </c>
      <c r="J2">
        <f>SUMIFS($B$2:$B$11,$E$2:$E$11,H2)</f>
        <v>350</v>
      </c>
      <c r="K2">
        <f>COUNTIFS($E$2:$E$11,H2)</f>
        <v>4</v>
      </c>
      <c r="L2">
        <f>J2/K2</f>
        <v>87.5</v>
      </c>
    </row>
    <row r="3" spans="1:12">
      <c r="A3">
        <v>1</v>
      </c>
      <c r="B3" s="3">
        <v>20</v>
      </c>
      <c r="C3" s="3">
        <f t="shared" ref="C3:C21" si="0">B3*E3</f>
        <v>12000</v>
      </c>
      <c r="D3" s="3">
        <f>B3+C3</f>
        <v>12020</v>
      </c>
      <c r="E3" s="3">
        <v>600</v>
      </c>
      <c r="F3" s="3" t="s">
        <v>16</v>
      </c>
      <c r="H3" s="1" t="s">
        <v>15</v>
      </c>
      <c r="I3" t="s">
        <v>13</v>
      </c>
      <c r="J3">
        <f>SUMIFS($B$2:$B$11,$E$2:$E$11,H3,$E$2:$E$11,I3)</f>
        <v>190</v>
      </c>
      <c r="K3">
        <f>COUNTIFS($E$2:$E$11,H3,$E$2:$E$11,I3)</f>
        <v>3</v>
      </c>
      <c r="L3">
        <f>J3/K3</f>
        <v>63.333333333333336</v>
      </c>
    </row>
    <row r="4" spans="1:12">
      <c r="A4">
        <v>1</v>
      </c>
      <c r="B4" s="3">
        <v>10</v>
      </c>
      <c r="C4" s="3">
        <f t="shared" si="0"/>
        <v>8000</v>
      </c>
      <c r="D4" s="3">
        <f>B4+C4</f>
        <v>8010</v>
      </c>
      <c r="E4" s="3">
        <v>800</v>
      </c>
      <c r="F4" s="3" t="s">
        <v>16</v>
      </c>
      <c r="H4" t="s">
        <v>14</v>
      </c>
      <c r="I4" t="s">
        <v>9</v>
      </c>
      <c r="J4">
        <f>SUMIFS($B$2:$B$11,$E$2:$E$11,H4,$E$2:$E$11,I4)</f>
        <v>240</v>
      </c>
      <c r="K4">
        <f>COUNTIFS($E$2:$E$11,H4,$E$2:$E$11,I4)</f>
        <v>3</v>
      </c>
      <c r="L4">
        <f>J4/K4</f>
        <v>80</v>
      </c>
    </row>
    <row r="5" spans="1:12">
      <c r="A5">
        <v>1</v>
      </c>
      <c r="B5" s="3">
        <v>20</v>
      </c>
      <c r="C5" s="3">
        <f t="shared" si="0"/>
        <v>20000</v>
      </c>
      <c r="D5" s="3">
        <f>B5+C5</f>
        <v>20020</v>
      </c>
      <c r="E5" s="3">
        <v>1000</v>
      </c>
      <c r="F5" s="3" t="s">
        <v>16</v>
      </c>
    </row>
    <row r="6" spans="1:12">
      <c r="A6">
        <v>1</v>
      </c>
      <c r="B6" s="4">
        <v>50</v>
      </c>
      <c r="C6" s="4">
        <f t="shared" si="0"/>
        <v>75000</v>
      </c>
      <c r="D6" s="4">
        <f t="shared" ref="D6:D21" si="1">B6+C6</f>
        <v>75050</v>
      </c>
      <c r="E6" s="4">
        <v>1500</v>
      </c>
      <c r="F6" s="4" t="s">
        <v>16</v>
      </c>
    </row>
    <row r="7" spans="1:12">
      <c r="A7">
        <v>1</v>
      </c>
      <c r="B7" s="4">
        <v>100</v>
      </c>
      <c r="C7" s="4">
        <f t="shared" si="0"/>
        <v>300000</v>
      </c>
      <c r="D7" s="4">
        <f t="shared" si="1"/>
        <v>300100</v>
      </c>
      <c r="E7" s="4">
        <v>3000</v>
      </c>
      <c r="F7" s="4" t="s">
        <v>16</v>
      </c>
    </row>
    <row r="8" spans="1:12">
      <c r="A8">
        <v>1</v>
      </c>
      <c r="B8" s="4">
        <v>40</v>
      </c>
      <c r="C8" s="4">
        <f t="shared" si="0"/>
        <v>200000</v>
      </c>
      <c r="D8" s="4">
        <f t="shared" si="1"/>
        <v>200040</v>
      </c>
      <c r="E8" s="4">
        <v>5000</v>
      </c>
      <c r="F8" s="4" t="s">
        <v>16</v>
      </c>
    </row>
    <row r="9" spans="1:12">
      <c r="A9">
        <v>1</v>
      </c>
      <c r="B9" s="5">
        <v>10</v>
      </c>
      <c r="C9" s="5">
        <f t="shared" si="0"/>
        <v>100000</v>
      </c>
      <c r="D9" s="5">
        <f t="shared" si="1"/>
        <v>100010</v>
      </c>
      <c r="E9" s="5">
        <v>10000</v>
      </c>
      <c r="F9" s="5" t="s">
        <v>16</v>
      </c>
    </row>
    <row r="10" spans="1:12">
      <c r="A10">
        <v>1</v>
      </c>
      <c r="B10" s="5">
        <v>200</v>
      </c>
      <c r="C10" s="5">
        <f t="shared" si="0"/>
        <v>3000000</v>
      </c>
      <c r="D10" s="5">
        <f t="shared" si="1"/>
        <v>3000200</v>
      </c>
      <c r="E10" s="5">
        <v>15000</v>
      </c>
      <c r="F10" s="5" t="s">
        <v>16</v>
      </c>
    </row>
    <row r="11" spans="1:12">
      <c r="A11" s="9">
        <v>1</v>
      </c>
      <c r="B11" s="10">
        <v>30</v>
      </c>
      <c r="C11" s="10">
        <f t="shared" si="0"/>
        <v>600000</v>
      </c>
      <c r="D11" s="10">
        <f t="shared" si="1"/>
        <v>600030</v>
      </c>
      <c r="E11" s="10">
        <v>20000</v>
      </c>
      <c r="F11" s="10" t="s">
        <v>16</v>
      </c>
      <c r="G11" s="9"/>
      <c r="H11" s="9"/>
      <c r="I11" s="9"/>
      <c r="J11" s="9"/>
      <c r="K11" s="9"/>
      <c r="L11" s="9"/>
    </row>
    <row r="12" spans="1:12">
      <c r="A12">
        <v>2</v>
      </c>
      <c r="B12" s="3">
        <v>20</v>
      </c>
      <c r="C12">
        <f t="shared" si="0"/>
        <v>8000</v>
      </c>
      <c r="D12" s="6">
        <f t="shared" si="1"/>
        <v>8020</v>
      </c>
      <c r="E12" s="6">
        <f>E2</f>
        <v>400</v>
      </c>
      <c r="F12" s="3" t="s">
        <v>16</v>
      </c>
      <c r="H12" t="s">
        <v>12</v>
      </c>
      <c r="J12">
        <f>SUMIFS($B$12:$B$21,$E$12:$E$21,H12)</f>
        <v>310</v>
      </c>
      <c r="K12">
        <f>COUNTIFS($E$12:$E$21,H12)</f>
        <v>4</v>
      </c>
      <c r="L12">
        <f>J12/K12</f>
        <v>77.5</v>
      </c>
    </row>
    <row r="13" spans="1:12">
      <c r="A13">
        <v>2</v>
      </c>
      <c r="B13" s="4">
        <v>50</v>
      </c>
      <c r="C13">
        <f t="shared" si="0"/>
        <v>30000</v>
      </c>
      <c r="D13" s="6">
        <f t="shared" si="1"/>
        <v>30050</v>
      </c>
      <c r="E13" s="6">
        <f>E3</f>
        <v>600</v>
      </c>
      <c r="F13" s="3" t="s">
        <v>16</v>
      </c>
      <c r="H13" s="1" t="s">
        <v>15</v>
      </c>
      <c r="I13" t="s">
        <v>13</v>
      </c>
      <c r="J13">
        <f>SUMIFS($B$12:$B$21,$E$12:$E$21,H13,$E$12:$E$21,I13)</f>
        <v>340</v>
      </c>
      <c r="K13">
        <f>COUNTIFS($E$12:$E$21,H13,$E$12:$E$21,I13)</f>
        <v>3</v>
      </c>
      <c r="L13">
        <f>J13/K13</f>
        <v>113.33333333333333</v>
      </c>
    </row>
    <row r="14" spans="1:12">
      <c r="A14">
        <v>2</v>
      </c>
      <c r="B14" s="4">
        <v>40</v>
      </c>
      <c r="C14">
        <f t="shared" si="0"/>
        <v>32000</v>
      </c>
      <c r="D14" s="6">
        <f t="shared" si="1"/>
        <v>32040</v>
      </c>
      <c r="E14" s="6">
        <f>E4</f>
        <v>800</v>
      </c>
      <c r="F14" s="3" t="s">
        <v>16</v>
      </c>
      <c r="H14" t="s">
        <v>14</v>
      </c>
      <c r="I14" t="s">
        <v>9</v>
      </c>
      <c r="J14">
        <f>SUMIFS($B$12:$B$21,$E$12:$E$21,H14,$E$12:$E$21,I14)</f>
        <v>130</v>
      </c>
      <c r="K14">
        <f>COUNTIFS($E$12:$E$21,H14,$E$12:$E$21,I14)</f>
        <v>3</v>
      </c>
      <c r="L14">
        <f>J14/K14</f>
        <v>43.333333333333336</v>
      </c>
    </row>
    <row r="15" spans="1:12">
      <c r="A15">
        <v>2</v>
      </c>
      <c r="B15" s="5">
        <v>200</v>
      </c>
      <c r="C15">
        <f t="shared" si="0"/>
        <v>200000</v>
      </c>
      <c r="D15" s="6">
        <f t="shared" si="1"/>
        <v>200200</v>
      </c>
      <c r="E15" s="6">
        <f>E5</f>
        <v>1000</v>
      </c>
      <c r="F15" s="3" t="s">
        <v>16</v>
      </c>
    </row>
    <row r="16" spans="1:12">
      <c r="A16">
        <v>2</v>
      </c>
      <c r="B16" s="3">
        <v>300</v>
      </c>
      <c r="C16">
        <f t="shared" si="0"/>
        <v>450000</v>
      </c>
      <c r="D16" s="7">
        <f t="shared" si="1"/>
        <v>450300</v>
      </c>
      <c r="E16" s="7">
        <f>E6</f>
        <v>1500</v>
      </c>
      <c r="F16" s="4" t="s">
        <v>16</v>
      </c>
    </row>
    <row r="17" spans="1:6">
      <c r="A17">
        <v>2</v>
      </c>
      <c r="B17" s="3">
        <v>10</v>
      </c>
      <c r="C17">
        <f t="shared" si="0"/>
        <v>30000</v>
      </c>
      <c r="D17" s="7">
        <f t="shared" si="1"/>
        <v>30010</v>
      </c>
      <c r="E17" s="7">
        <f>E7</f>
        <v>3000</v>
      </c>
      <c r="F17" s="4" t="s">
        <v>16</v>
      </c>
    </row>
    <row r="18" spans="1:6">
      <c r="A18">
        <v>2</v>
      </c>
      <c r="B18" s="5">
        <v>30</v>
      </c>
      <c r="C18">
        <f t="shared" si="0"/>
        <v>150000</v>
      </c>
      <c r="D18" s="7">
        <f t="shared" si="1"/>
        <v>150030</v>
      </c>
      <c r="E18" s="7">
        <f t="shared" ref="E18:E21" si="2">E8</f>
        <v>5000</v>
      </c>
      <c r="F18" s="4" t="s">
        <v>16</v>
      </c>
    </row>
    <row r="19" spans="1:6">
      <c r="A19">
        <v>2</v>
      </c>
      <c r="B19" s="5">
        <v>10</v>
      </c>
      <c r="C19">
        <f t="shared" si="0"/>
        <v>100000</v>
      </c>
      <c r="D19" s="8">
        <f t="shared" si="1"/>
        <v>100010</v>
      </c>
      <c r="E19" s="8">
        <f t="shared" si="2"/>
        <v>10000</v>
      </c>
      <c r="F19" s="5" t="s">
        <v>16</v>
      </c>
    </row>
    <row r="20" spans="1:6">
      <c r="A20">
        <v>2</v>
      </c>
      <c r="B20" s="3">
        <v>20</v>
      </c>
      <c r="C20">
        <f t="shared" si="0"/>
        <v>300000</v>
      </c>
      <c r="D20" s="8">
        <f t="shared" si="1"/>
        <v>300020</v>
      </c>
      <c r="E20" s="8">
        <f t="shared" si="2"/>
        <v>15000</v>
      </c>
      <c r="F20" s="5" t="s">
        <v>16</v>
      </c>
    </row>
    <row r="21" spans="1:6">
      <c r="A21">
        <v>2</v>
      </c>
      <c r="B21" s="4">
        <v>100</v>
      </c>
      <c r="C21">
        <f t="shared" si="0"/>
        <v>2000000</v>
      </c>
      <c r="D21" s="8">
        <f t="shared" si="1"/>
        <v>2000100</v>
      </c>
      <c r="E21" s="8">
        <f t="shared" si="2"/>
        <v>20000</v>
      </c>
      <c r="F21" s="5" t="s">
        <v>16</v>
      </c>
    </row>
    <row r="25" spans="1:6">
      <c r="A25" t="s">
        <v>17</v>
      </c>
    </row>
    <row r="26" spans="1:6">
      <c r="A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number_conds_12_conditions</vt:lpstr>
      <vt:lpstr>number_conds_10_conditions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2024-06-28T12:55:29Z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