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moral_numbers/experiment10_incommensurate_scenarios_new_ratios/"/>
    </mc:Choice>
  </mc:AlternateContent>
  <xr:revisionPtr revIDLastSave="0" documentId="13_ncr:1_{D8F7EE96-E377-A844-B391-1D3796AFFDE1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number_conds_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25" i="1" s="1"/>
  <c r="C25" i="1" s="1"/>
  <c r="D25" i="1" s="1"/>
  <c r="E12" i="1"/>
  <c r="E11" i="1"/>
  <c r="E23" i="1"/>
  <c r="C23" i="1" s="1"/>
  <c r="D23" i="1" s="1"/>
  <c r="C16" i="1"/>
  <c r="D16" i="1" s="1"/>
  <c r="E10" i="1"/>
  <c r="E22" i="1" s="1"/>
  <c r="C22" i="1" s="1"/>
  <c r="D22" i="1" s="1"/>
  <c r="E9" i="1"/>
  <c r="E21" i="1" s="1"/>
  <c r="C21" i="1" s="1"/>
  <c r="D21" i="1" s="1"/>
  <c r="E8" i="1"/>
  <c r="E20" i="1" s="1"/>
  <c r="C20" i="1" s="1"/>
  <c r="D20" i="1" s="1"/>
  <c r="E7" i="1"/>
  <c r="E19" i="1" s="1"/>
  <c r="C19" i="1" s="1"/>
  <c r="D19" i="1" s="1"/>
  <c r="E6" i="1"/>
  <c r="E18" i="1" s="1"/>
  <c r="C18" i="1" s="1"/>
  <c r="D18" i="1" s="1"/>
  <c r="E4" i="1"/>
  <c r="E16" i="1" s="1"/>
  <c r="E2" i="1"/>
  <c r="C7" i="1"/>
  <c r="C5" i="1"/>
  <c r="E5" i="1" s="1"/>
  <c r="E17" i="1" s="1"/>
  <c r="C17" i="1" s="1"/>
  <c r="D17" i="1" s="1"/>
  <c r="C3" i="1"/>
  <c r="E3" i="1" l="1"/>
  <c r="E15" i="1" s="1"/>
  <c r="C15" i="1" s="1"/>
  <c r="D15" i="1" s="1"/>
  <c r="E24" i="1"/>
  <c r="C24" i="1" s="1"/>
  <c r="D24" i="1" s="1"/>
  <c r="J3" i="1"/>
  <c r="E14" i="1"/>
  <c r="K4" i="1"/>
  <c r="K2" i="1"/>
  <c r="K3" i="1"/>
  <c r="J2" i="1"/>
  <c r="C14" i="1" l="1"/>
  <c r="D14" i="1" s="1"/>
  <c r="K16" i="1"/>
  <c r="K15" i="1"/>
  <c r="K14" i="1"/>
  <c r="J16" i="1"/>
  <c r="J15" i="1"/>
  <c r="L15" i="1" s="1"/>
  <c r="J14" i="1"/>
  <c r="L2" i="1"/>
  <c r="J4" i="1"/>
  <c r="L4" i="1" s="1"/>
  <c r="L3" i="1"/>
  <c r="L14" i="1" l="1"/>
  <c r="L16" i="1"/>
</calcChain>
</file>

<file path=xl/sharedStrings.xml><?xml version="1.0" encoding="utf-8"?>
<sst xmlns="http://schemas.openxmlformats.org/spreadsheetml/2006/main" count="46" uniqueCount="18">
  <si>
    <t>n_victims</t>
  </si>
  <si>
    <t>n_saved</t>
  </si>
  <si>
    <t>n_total</t>
  </si>
  <si>
    <t>experiments</t>
  </si>
  <si>
    <t>N</t>
  </si>
  <si>
    <t>Ratio range</t>
  </si>
  <si>
    <t>Victims sum</t>
  </si>
  <si>
    <t>Victims average</t>
  </si>
  <si>
    <t>Ratio range2</t>
  </si>
  <si>
    <t>&lt;=100</t>
  </si>
  <si>
    <t>&gt;100</t>
  </si>
  <si>
    <t>&lt;1000000</t>
  </si>
  <si>
    <t>&lt;10</t>
  </si>
  <si>
    <t>&gt;=10</t>
  </si>
  <si>
    <t>counterbalancing_group</t>
  </si>
  <si>
    <t>ratio_saved_victims</t>
  </si>
  <si>
    <t>10 (vivid victims)</t>
  </si>
  <si>
    <t>CB1 is correct, cb 2 must be rerun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</si>
</sst>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theme="1"/>
      <name val="Arial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0" fillId="36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6" sqref="H26"/>
    </sheetView>
  </sheetViews>
  <sheetFormatPr baseColWidth="10" defaultRowHeight="16"/>
  <cols>
    <col min="1" max="1" width="20.140625" bestFit="1" customWidth="1"/>
  </cols>
  <sheetData>
    <row r="1" spans="1:12">
      <c r="A1" t="s">
        <v>14</v>
      </c>
      <c r="B1" s="2" t="s">
        <v>0</v>
      </c>
      <c r="C1" s="2" t="s">
        <v>1</v>
      </c>
      <c r="D1" s="2" t="s">
        <v>2</v>
      </c>
      <c r="E1" s="2" t="s">
        <v>15</v>
      </c>
      <c r="F1" s="2" t="s">
        <v>3</v>
      </c>
      <c r="H1" t="s">
        <v>5</v>
      </c>
      <c r="I1" t="s">
        <v>8</v>
      </c>
      <c r="J1" t="s">
        <v>6</v>
      </c>
      <c r="K1" t="s">
        <v>4</v>
      </c>
      <c r="L1" t="s">
        <v>7</v>
      </c>
    </row>
    <row r="2" spans="1:12">
      <c r="A2">
        <v>1</v>
      </c>
      <c r="B2" s="3">
        <v>300</v>
      </c>
      <c r="C2" s="3">
        <v>400</v>
      </c>
      <c r="D2" s="3">
        <v>700</v>
      </c>
      <c r="E2" s="3">
        <f>C2/B2</f>
        <v>1.3333333333333333</v>
      </c>
      <c r="F2" s="3" t="s">
        <v>16</v>
      </c>
      <c r="H2" t="s">
        <v>12</v>
      </c>
      <c r="J2">
        <f>SUMIFS($B$2:$B$13,$E$2:$E$13,H2)</f>
        <v>350</v>
      </c>
      <c r="K2">
        <f>COUNTIFS($E$2:$E$13,H2)</f>
        <v>4</v>
      </c>
      <c r="L2">
        <f>J2/K2</f>
        <v>87.5</v>
      </c>
    </row>
    <row r="3" spans="1:12">
      <c r="A3">
        <v>1</v>
      </c>
      <c r="B3" s="3">
        <v>20</v>
      </c>
      <c r="C3" s="3">
        <f>2*B3</f>
        <v>40</v>
      </c>
      <c r="D3" s="3">
        <v>600</v>
      </c>
      <c r="E3" s="3">
        <f t="shared" ref="E3:E13" si="0">C3/B3</f>
        <v>2</v>
      </c>
      <c r="F3" s="3" t="s">
        <v>16</v>
      </c>
      <c r="H3" s="1" t="s">
        <v>13</v>
      </c>
      <c r="I3" t="s">
        <v>9</v>
      </c>
      <c r="J3">
        <f>SUMIFS($B$2:$B$13,$E$2:$E$13,H3,$E$2:$E$13,I3)</f>
        <v>260</v>
      </c>
      <c r="K3">
        <f>COUNTIFS($E$2:$E$13,H3,$E$2:$E$13,I3)</f>
        <v>5</v>
      </c>
      <c r="L3">
        <f>J3/K3</f>
        <v>52</v>
      </c>
    </row>
    <row r="4" spans="1:12">
      <c r="A4">
        <v>1</v>
      </c>
      <c r="B4" s="3">
        <v>10</v>
      </c>
      <c r="C4" s="3">
        <v>30</v>
      </c>
      <c r="D4" s="3">
        <v>40</v>
      </c>
      <c r="E4" s="3">
        <f t="shared" si="0"/>
        <v>3</v>
      </c>
      <c r="F4" s="3" t="s">
        <v>16</v>
      </c>
      <c r="H4" t="s">
        <v>10</v>
      </c>
      <c r="I4" t="s">
        <v>11</v>
      </c>
      <c r="J4">
        <f>SUMIFS($B$2:$B$13,$E$2:$E$13,H4,$E$2:$E$13,I4)</f>
        <v>240</v>
      </c>
      <c r="K4">
        <f>COUNTIFS($E$2:$E$13,H4,$E$2:$E$13,I4)</f>
        <v>3</v>
      </c>
      <c r="L4">
        <f>J4/K4</f>
        <v>80</v>
      </c>
    </row>
    <row r="5" spans="1:12">
      <c r="A5">
        <v>1</v>
      </c>
      <c r="B5" s="3">
        <v>20</v>
      </c>
      <c r="C5" s="3">
        <f>B5*4</f>
        <v>80</v>
      </c>
      <c r="D5" s="3">
        <v>250</v>
      </c>
      <c r="E5" s="3">
        <f t="shared" si="0"/>
        <v>4</v>
      </c>
      <c r="F5" s="3" t="s">
        <v>16</v>
      </c>
    </row>
    <row r="6" spans="1:12">
      <c r="A6">
        <v>1</v>
      </c>
      <c r="B6" s="4">
        <v>40</v>
      </c>
      <c r="C6" s="4">
        <v>400</v>
      </c>
      <c r="D6" s="4">
        <v>440</v>
      </c>
      <c r="E6" s="4">
        <f t="shared" si="0"/>
        <v>10</v>
      </c>
      <c r="F6" s="4" t="s">
        <v>16</v>
      </c>
    </row>
    <row r="7" spans="1:12">
      <c r="A7">
        <v>1</v>
      </c>
      <c r="B7" s="4">
        <v>50</v>
      </c>
      <c r="C7" s="4">
        <f>B7*15</f>
        <v>750</v>
      </c>
      <c r="D7" s="4">
        <v>320</v>
      </c>
      <c r="E7" s="4">
        <f t="shared" si="0"/>
        <v>15</v>
      </c>
      <c r="F7" s="4" t="s">
        <v>16</v>
      </c>
    </row>
    <row r="8" spans="1:12">
      <c r="A8">
        <v>1</v>
      </c>
      <c r="B8" s="4">
        <v>30</v>
      </c>
      <c r="C8" s="4">
        <v>600</v>
      </c>
      <c r="D8" s="4">
        <v>630</v>
      </c>
      <c r="E8" s="4">
        <f t="shared" si="0"/>
        <v>20</v>
      </c>
      <c r="F8" s="4" t="s">
        <v>16</v>
      </c>
    </row>
    <row r="9" spans="1:12">
      <c r="A9">
        <v>1</v>
      </c>
      <c r="B9" s="4">
        <v>100</v>
      </c>
      <c r="C9" s="4">
        <v>5000</v>
      </c>
      <c r="D9" s="4">
        <v>5100</v>
      </c>
      <c r="E9" s="4">
        <f t="shared" si="0"/>
        <v>50</v>
      </c>
      <c r="F9" s="4" t="s">
        <v>16</v>
      </c>
    </row>
    <row r="10" spans="1:12">
      <c r="A10">
        <v>1</v>
      </c>
      <c r="B10" s="4">
        <v>40</v>
      </c>
      <c r="C10" s="4">
        <v>4000</v>
      </c>
      <c r="D10" s="4">
        <v>4040</v>
      </c>
      <c r="E10" s="4">
        <f t="shared" si="0"/>
        <v>100</v>
      </c>
      <c r="F10" s="4" t="s">
        <v>16</v>
      </c>
    </row>
    <row r="11" spans="1:12">
      <c r="A11">
        <v>1</v>
      </c>
      <c r="B11" s="5">
        <v>10</v>
      </c>
      <c r="C11" s="5">
        <v>5000</v>
      </c>
      <c r="D11" s="5">
        <v>4010</v>
      </c>
      <c r="E11" s="5">
        <f t="shared" si="0"/>
        <v>500</v>
      </c>
      <c r="F11" s="5" t="s">
        <v>16</v>
      </c>
    </row>
    <row r="12" spans="1:12">
      <c r="A12">
        <v>1</v>
      </c>
      <c r="B12" s="5">
        <v>200</v>
      </c>
      <c r="C12" s="5">
        <v>400000</v>
      </c>
      <c r="D12" s="5">
        <v>12020</v>
      </c>
      <c r="E12" s="5">
        <f t="shared" si="0"/>
        <v>2000</v>
      </c>
      <c r="F12" s="5" t="s">
        <v>16</v>
      </c>
    </row>
    <row r="13" spans="1:12">
      <c r="A13">
        <v>1</v>
      </c>
      <c r="B13" s="5">
        <v>30</v>
      </c>
      <c r="C13" s="5">
        <v>300000</v>
      </c>
      <c r="D13" s="5">
        <v>24030</v>
      </c>
      <c r="E13" s="5">
        <f t="shared" si="0"/>
        <v>10000</v>
      </c>
      <c r="F13" s="5" t="s">
        <v>16</v>
      </c>
    </row>
    <row r="14" spans="1:12">
      <c r="A14">
        <v>2</v>
      </c>
      <c r="B14" s="4">
        <v>30</v>
      </c>
      <c r="C14">
        <f>B14*E14</f>
        <v>40</v>
      </c>
      <c r="D14" s="6">
        <f>SUM(B14:C14)</f>
        <v>70</v>
      </c>
      <c r="E14" s="6">
        <f>E2</f>
        <v>1.3333333333333333</v>
      </c>
      <c r="F14" s="3" t="s">
        <v>16</v>
      </c>
      <c r="H14" t="s">
        <v>12</v>
      </c>
      <c r="J14">
        <f>SUMIFS($B$14:$B$25,$E$14:$E$25,H14)</f>
        <v>320</v>
      </c>
      <c r="K14">
        <f>COUNTIFS($E$14:$E$25,H14)</f>
        <v>4</v>
      </c>
      <c r="L14">
        <f>J14/K14</f>
        <v>80</v>
      </c>
    </row>
    <row r="15" spans="1:12">
      <c r="A15">
        <v>2</v>
      </c>
      <c r="B15" s="4">
        <v>50</v>
      </c>
      <c r="C15">
        <f t="shared" ref="C15:C25" si="1">B15*E15</f>
        <v>100</v>
      </c>
      <c r="D15" s="6">
        <f t="shared" ref="D15:D23" si="2">SUM(B15:C15)</f>
        <v>150</v>
      </c>
      <c r="E15" s="6">
        <f t="shared" ref="E15:E25" si="3">E3</f>
        <v>2</v>
      </c>
      <c r="F15" s="3" t="s">
        <v>16</v>
      </c>
      <c r="H15" s="1" t="s">
        <v>13</v>
      </c>
      <c r="I15" t="s">
        <v>9</v>
      </c>
      <c r="J15">
        <f>SUMIFS($B$14:$B$25,$E$14:$E$25,H15,$E$14:$E$25,I15)</f>
        <v>370</v>
      </c>
      <c r="K15">
        <f>COUNTIFS($E$14:$E$25,H15,$E$14:$E$25,I15)</f>
        <v>5</v>
      </c>
      <c r="L15">
        <f>J15/K15</f>
        <v>74</v>
      </c>
    </row>
    <row r="16" spans="1:12">
      <c r="A16">
        <v>2</v>
      </c>
      <c r="B16" s="4">
        <v>40</v>
      </c>
      <c r="C16">
        <f t="shared" si="1"/>
        <v>120</v>
      </c>
      <c r="D16" s="6">
        <f t="shared" si="2"/>
        <v>160</v>
      </c>
      <c r="E16" s="6">
        <f t="shared" si="3"/>
        <v>3</v>
      </c>
      <c r="F16" s="3" t="s">
        <v>16</v>
      </c>
      <c r="H16" t="s">
        <v>10</v>
      </c>
      <c r="I16" t="s">
        <v>11</v>
      </c>
      <c r="J16">
        <f>SUMIFS($B$14:$B$25,$E$14:$E$25,H16,$E$14:$E$25,I16)</f>
        <v>160</v>
      </c>
      <c r="K16">
        <f>COUNTIFS($E$14:$E$25,H16,$E$14:$E$25,I16)</f>
        <v>3</v>
      </c>
      <c r="L16">
        <f>J16/K16</f>
        <v>53.333333333333336</v>
      </c>
    </row>
    <row r="17" spans="1:8">
      <c r="A17">
        <v>2</v>
      </c>
      <c r="B17" s="5">
        <v>200</v>
      </c>
      <c r="C17">
        <f t="shared" si="1"/>
        <v>800</v>
      </c>
      <c r="D17" s="6">
        <f>SUM(B17:C17)</f>
        <v>1000</v>
      </c>
      <c r="E17" s="6">
        <f t="shared" si="3"/>
        <v>4</v>
      </c>
      <c r="F17" s="3" t="s">
        <v>16</v>
      </c>
    </row>
    <row r="18" spans="1:8">
      <c r="A18">
        <v>2</v>
      </c>
      <c r="B18" s="3">
        <v>300</v>
      </c>
      <c r="C18">
        <f t="shared" si="1"/>
        <v>3000</v>
      </c>
      <c r="D18" s="7">
        <f t="shared" si="2"/>
        <v>3300</v>
      </c>
      <c r="E18" s="7">
        <f t="shared" si="3"/>
        <v>10</v>
      </c>
      <c r="F18" s="4" t="s">
        <v>16</v>
      </c>
    </row>
    <row r="19" spans="1:8">
      <c r="A19">
        <v>2</v>
      </c>
      <c r="B19" s="3">
        <v>20</v>
      </c>
      <c r="C19">
        <f t="shared" si="1"/>
        <v>300</v>
      </c>
      <c r="D19" s="7">
        <f t="shared" si="2"/>
        <v>320</v>
      </c>
      <c r="E19" s="7">
        <f t="shared" si="3"/>
        <v>15</v>
      </c>
      <c r="F19" s="4" t="s">
        <v>16</v>
      </c>
    </row>
    <row r="20" spans="1:8">
      <c r="A20">
        <v>2</v>
      </c>
      <c r="B20" s="3">
        <v>10</v>
      </c>
      <c r="C20">
        <f t="shared" si="1"/>
        <v>200</v>
      </c>
      <c r="D20" s="7">
        <f t="shared" si="2"/>
        <v>210</v>
      </c>
      <c r="E20" s="7">
        <f t="shared" si="3"/>
        <v>20</v>
      </c>
      <c r="F20" s="4" t="s">
        <v>16</v>
      </c>
    </row>
    <row r="21" spans="1:8">
      <c r="A21">
        <v>2</v>
      </c>
      <c r="B21" s="5">
        <v>10</v>
      </c>
      <c r="C21">
        <f t="shared" si="1"/>
        <v>500</v>
      </c>
      <c r="D21" s="7">
        <f t="shared" si="2"/>
        <v>510</v>
      </c>
      <c r="E21" s="7">
        <f t="shared" si="3"/>
        <v>50</v>
      </c>
      <c r="F21" s="4" t="s">
        <v>16</v>
      </c>
    </row>
    <row r="22" spans="1:8">
      <c r="A22">
        <v>2</v>
      </c>
      <c r="B22" s="5">
        <v>30</v>
      </c>
      <c r="C22">
        <f t="shared" si="1"/>
        <v>3000</v>
      </c>
      <c r="D22" s="7">
        <f t="shared" si="2"/>
        <v>3030</v>
      </c>
      <c r="E22" s="7">
        <f t="shared" si="3"/>
        <v>100</v>
      </c>
      <c r="F22" s="4" t="s">
        <v>16</v>
      </c>
    </row>
    <row r="23" spans="1:8">
      <c r="A23">
        <v>2</v>
      </c>
      <c r="B23" s="4">
        <v>40</v>
      </c>
      <c r="C23">
        <f t="shared" si="1"/>
        <v>20000</v>
      </c>
      <c r="D23" s="8">
        <f t="shared" si="2"/>
        <v>20040</v>
      </c>
      <c r="E23" s="8">
        <f t="shared" si="3"/>
        <v>500</v>
      </c>
      <c r="F23" s="5" t="s">
        <v>16</v>
      </c>
    </row>
    <row r="24" spans="1:8">
      <c r="A24">
        <v>2</v>
      </c>
      <c r="B24" s="3">
        <v>20</v>
      </c>
      <c r="C24">
        <f t="shared" si="1"/>
        <v>40000</v>
      </c>
      <c r="D24" s="8">
        <f>SUM(B24:C24)</f>
        <v>40020</v>
      </c>
      <c r="E24" s="8">
        <f t="shared" si="3"/>
        <v>2000</v>
      </c>
      <c r="F24" s="5" t="s">
        <v>16</v>
      </c>
    </row>
    <row r="25" spans="1:8">
      <c r="A25">
        <v>2</v>
      </c>
      <c r="B25" s="4">
        <v>100</v>
      </c>
      <c r="C25">
        <f t="shared" si="1"/>
        <v>1000000</v>
      </c>
      <c r="D25" s="8">
        <f>SUM(B25:C25)</f>
        <v>1000100</v>
      </c>
      <c r="E25" s="8">
        <f t="shared" si="3"/>
        <v>10000</v>
      </c>
      <c r="F25" s="5" t="s">
        <v>16</v>
      </c>
      <c r="H25" t="s">
        <v>17</v>
      </c>
    </row>
  </sheetData>
  <sortState xmlns:xlrd2="http://schemas.microsoft.com/office/spreadsheetml/2017/richdata2" ref="B2:F13">
    <sortCondition ref="E2:E13"/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number_conds_tmp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Endress, Ansgar</cp:lastModifiedBy>
  <dcterms:created xsi:type="dcterms:W3CDTF">2023-10-12T16:42:22Z</dcterms:created>
  <dcterms:modified xsi:type="dcterms:W3CDTF">2024-09-07T19:29:16Z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2023-10-12T16:42:55Z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92b5e522-5688-451c-9096-f314100fa0df</vt:lpwstr>
  </property>
  <property fmtid="{D5CDD505-2E9C-101B-9397-08002B2CF9AE}" pid="8" name="MSIP_Label_06c24981-b6df-48f8-949b-0896357b9b03_ContentBits">
    <vt:lpwstr>0</vt:lpwstr>
  </property>
</Properties>
</file>