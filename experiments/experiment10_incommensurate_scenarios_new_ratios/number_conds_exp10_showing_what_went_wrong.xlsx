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ndress/Experiments/moral_numbers/experiments/experiment10_incommensurate_scenarios_new_ratios/"/>
    </mc:Choice>
  </mc:AlternateContent>
  <xr:revisionPtr revIDLastSave="0" documentId="13_ncr:1_{E9CE627B-C092-534C-A822-778F8B3E3E7D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number_conds_tm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1" l="1"/>
  <c r="H11" i="1"/>
  <c r="P51" i="1"/>
  <c r="L51" i="1"/>
  <c r="K51" i="1"/>
  <c r="P50" i="1"/>
  <c r="L50" i="1"/>
  <c r="K50" i="1"/>
  <c r="P49" i="1"/>
  <c r="L49" i="1"/>
  <c r="K49" i="1"/>
  <c r="P48" i="1"/>
  <c r="L48" i="1"/>
  <c r="K48" i="1"/>
  <c r="P47" i="1"/>
  <c r="L47" i="1"/>
  <c r="K47" i="1"/>
  <c r="P46" i="1"/>
  <c r="L46" i="1"/>
  <c r="K46" i="1"/>
  <c r="P45" i="1"/>
  <c r="L45" i="1"/>
  <c r="K45" i="1"/>
  <c r="P44" i="1"/>
  <c r="L44" i="1"/>
  <c r="K44" i="1"/>
  <c r="P43" i="1"/>
  <c r="L43" i="1"/>
  <c r="K43" i="1"/>
  <c r="P42" i="1"/>
  <c r="L42" i="1"/>
  <c r="K42" i="1"/>
  <c r="P41" i="1"/>
  <c r="L41" i="1"/>
  <c r="K41" i="1"/>
  <c r="P40" i="1"/>
  <c r="L40" i="1"/>
  <c r="K40" i="1"/>
  <c r="P39" i="1"/>
  <c r="N39" i="1"/>
  <c r="M39" i="1"/>
  <c r="L39" i="1"/>
  <c r="K39" i="1"/>
  <c r="P38" i="1"/>
  <c r="N38" i="1"/>
  <c r="L38" i="1"/>
  <c r="K38" i="1"/>
  <c r="P37" i="1"/>
  <c r="N37" i="1"/>
  <c r="M37" i="1"/>
  <c r="L37" i="1"/>
  <c r="K37" i="1"/>
  <c r="P36" i="1"/>
  <c r="N36" i="1"/>
  <c r="M36" i="1"/>
  <c r="L36" i="1"/>
  <c r="K36" i="1"/>
  <c r="P35" i="1"/>
  <c r="N35" i="1"/>
  <c r="M35" i="1"/>
  <c r="L35" i="1"/>
  <c r="K35" i="1"/>
  <c r="P34" i="1"/>
  <c r="N34" i="1"/>
  <c r="M34" i="1"/>
  <c r="L34" i="1"/>
  <c r="K34" i="1"/>
  <c r="P33" i="1"/>
  <c r="N33" i="1"/>
  <c r="L33" i="1"/>
  <c r="K33" i="1"/>
  <c r="P32" i="1"/>
  <c r="N32" i="1"/>
  <c r="M32" i="1"/>
  <c r="L32" i="1"/>
  <c r="K32" i="1"/>
  <c r="P31" i="1"/>
  <c r="N31" i="1"/>
  <c r="L31" i="1"/>
  <c r="K31" i="1"/>
  <c r="P30" i="1"/>
  <c r="N30" i="1"/>
  <c r="M30" i="1"/>
  <c r="L30" i="1"/>
  <c r="K30" i="1"/>
  <c r="P29" i="1"/>
  <c r="N29" i="1"/>
  <c r="L29" i="1"/>
  <c r="K29" i="1"/>
  <c r="P28" i="1"/>
  <c r="N28" i="1"/>
  <c r="M28" i="1"/>
  <c r="L28" i="1"/>
  <c r="K28" i="1"/>
  <c r="E39" i="1"/>
  <c r="E51" i="1" s="1"/>
  <c r="C51" i="1" s="1"/>
  <c r="D51" i="1" s="1"/>
  <c r="E38" i="1"/>
  <c r="E50" i="1" s="1"/>
  <c r="C50" i="1" s="1"/>
  <c r="D50" i="1" s="1"/>
  <c r="E37" i="1"/>
  <c r="E49" i="1" s="1"/>
  <c r="C49" i="1" s="1"/>
  <c r="D49" i="1" s="1"/>
  <c r="E36" i="1"/>
  <c r="E48" i="1" s="1"/>
  <c r="C48" i="1" s="1"/>
  <c r="D48" i="1" s="1"/>
  <c r="E35" i="1"/>
  <c r="E47" i="1" s="1"/>
  <c r="E34" i="1"/>
  <c r="E46" i="1" s="1"/>
  <c r="C33" i="1"/>
  <c r="E33" i="1" s="1"/>
  <c r="E45" i="1" s="1"/>
  <c r="C45" i="1" s="1"/>
  <c r="D45" i="1" s="1"/>
  <c r="E32" i="1"/>
  <c r="E44" i="1" s="1"/>
  <c r="C44" i="1" s="1"/>
  <c r="D44" i="1" s="1"/>
  <c r="C31" i="1"/>
  <c r="E31" i="1" s="1"/>
  <c r="E43" i="1" s="1"/>
  <c r="C43" i="1" s="1"/>
  <c r="D43" i="1" s="1"/>
  <c r="E30" i="1"/>
  <c r="E42" i="1" s="1"/>
  <c r="C42" i="1" s="1"/>
  <c r="D42" i="1" s="1"/>
  <c r="C29" i="1"/>
  <c r="E29" i="1" s="1"/>
  <c r="E41" i="1" s="1"/>
  <c r="C41" i="1" s="1"/>
  <c r="D41" i="1" s="1"/>
  <c r="E28" i="1"/>
  <c r="E40" i="1" s="1"/>
  <c r="C40" i="1" s="1"/>
  <c r="D40" i="1" s="1"/>
  <c r="H36" i="1" l="1"/>
  <c r="H42" i="1"/>
  <c r="H37" i="1"/>
  <c r="H43" i="1"/>
  <c r="H28" i="1"/>
  <c r="H38" i="1"/>
  <c r="H44" i="1"/>
  <c r="H29" i="1"/>
  <c r="H39" i="1"/>
  <c r="H45" i="1"/>
  <c r="H30" i="1"/>
  <c r="H31" i="1"/>
  <c r="H32" i="1"/>
  <c r="H48" i="1"/>
  <c r="H33" i="1"/>
  <c r="H49" i="1"/>
  <c r="H34" i="1"/>
  <c r="H40" i="1"/>
  <c r="H50" i="1"/>
  <c r="H35" i="1"/>
  <c r="H41" i="1"/>
  <c r="H51" i="1"/>
  <c r="O38" i="1"/>
  <c r="C47" i="1"/>
  <c r="H47" i="1" s="1"/>
  <c r="O37" i="1"/>
  <c r="O39" i="1"/>
  <c r="C46" i="1"/>
  <c r="H46" i="1" s="1"/>
  <c r="D47" i="1" l="1"/>
  <c r="D46" i="1"/>
  <c r="E25" i="1" l="1"/>
  <c r="E24" i="1"/>
  <c r="E23" i="1"/>
  <c r="C12" i="1"/>
  <c r="E10" i="1"/>
  <c r="H10" i="1" s="1"/>
  <c r="E9" i="1"/>
  <c r="H9" i="1" s="1"/>
  <c r="E8" i="1"/>
  <c r="H8" i="1" s="1"/>
  <c r="C7" i="1"/>
  <c r="E6" i="1"/>
  <c r="H6" i="1" s="1"/>
  <c r="C5" i="1"/>
  <c r="E4" i="1"/>
  <c r="H4" i="1" s="1"/>
  <c r="C3" i="1"/>
  <c r="E2" i="1"/>
  <c r="H2" i="1" s="1"/>
  <c r="M38" i="1" l="1"/>
  <c r="H12" i="1"/>
  <c r="H24" i="1"/>
  <c r="E3" i="1"/>
  <c r="H3" i="1" s="1"/>
  <c r="M29" i="1"/>
  <c r="E16" i="1"/>
  <c r="O30" i="1"/>
  <c r="E18" i="1"/>
  <c r="O32" i="1"/>
  <c r="C24" i="1"/>
  <c r="O50" i="1"/>
  <c r="C25" i="1"/>
  <c r="H25" i="1" s="1"/>
  <c r="O51" i="1"/>
  <c r="E7" i="1"/>
  <c r="H7" i="1" s="1"/>
  <c r="M33" i="1"/>
  <c r="E21" i="1"/>
  <c r="O35" i="1"/>
  <c r="E22" i="1"/>
  <c r="O36" i="1"/>
  <c r="E5" i="1"/>
  <c r="H5" i="1" s="1"/>
  <c r="M31" i="1"/>
  <c r="E20" i="1"/>
  <c r="O34" i="1"/>
  <c r="E14" i="1"/>
  <c r="O28" i="1"/>
  <c r="C23" i="1"/>
  <c r="H23" i="1" s="1"/>
  <c r="O49" i="1"/>
  <c r="H21" i="1" l="1"/>
  <c r="D24" i="1"/>
  <c r="M50" i="1"/>
  <c r="C14" i="1"/>
  <c r="H14" i="1" s="1"/>
  <c r="O40" i="1"/>
  <c r="E15" i="1"/>
  <c r="O29" i="1"/>
  <c r="D25" i="1"/>
  <c r="M51" i="1"/>
  <c r="C22" i="1"/>
  <c r="H22" i="1" s="1"/>
  <c r="O48" i="1"/>
  <c r="C21" i="1"/>
  <c r="O47" i="1"/>
  <c r="C18" i="1"/>
  <c r="H18" i="1" s="1"/>
  <c r="O44" i="1"/>
  <c r="C20" i="1"/>
  <c r="H20" i="1" s="1"/>
  <c r="O46" i="1"/>
  <c r="C16" i="1"/>
  <c r="H16" i="1" s="1"/>
  <c r="O42" i="1"/>
  <c r="E17" i="1"/>
  <c r="O31" i="1"/>
  <c r="E19" i="1"/>
  <c r="O33" i="1"/>
  <c r="D23" i="1"/>
  <c r="M49" i="1"/>
  <c r="C19" i="1" l="1"/>
  <c r="H19" i="1" s="1"/>
  <c r="O45" i="1"/>
  <c r="D16" i="1"/>
  <c r="M42" i="1"/>
  <c r="D21" i="1"/>
  <c r="M47" i="1"/>
  <c r="C15" i="1"/>
  <c r="H15" i="1" s="1"/>
  <c r="O41" i="1"/>
  <c r="D20" i="1"/>
  <c r="M46" i="1"/>
  <c r="C17" i="1"/>
  <c r="H17" i="1" s="1"/>
  <c r="O43" i="1"/>
  <c r="N49" i="1"/>
  <c r="D22" i="1"/>
  <c r="M48" i="1"/>
  <c r="D14" i="1"/>
  <c r="M40" i="1"/>
  <c r="D18" i="1"/>
  <c r="M44" i="1"/>
  <c r="N51" i="1"/>
  <c r="N50" i="1"/>
  <c r="N47" i="1" l="1"/>
  <c r="D17" i="1"/>
  <c r="M43" i="1"/>
  <c r="N40" i="1"/>
  <c r="D15" i="1"/>
  <c r="M41" i="1"/>
  <c r="N48" i="1"/>
  <c r="N46" i="1"/>
  <c r="N42" i="1"/>
  <c r="N44" i="1"/>
  <c r="D19" i="1"/>
  <c r="M45" i="1"/>
  <c r="N41" i="1" l="1"/>
  <c r="N43" i="1"/>
  <c r="N45" i="1"/>
</calcChain>
</file>

<file path=xl/sharedStrings.xml><?xml version="1.0" encoding="utf-8"?>
<sst xmlns="http://schemas.openxmlformats.org/spreadsheetml/2006/main" count="67" uniqueCount="13">
  <si>
    <t>n_victims</t>
  </si>
  <si>
    <t>n_saved</t>
  </si>
  <si>
    <t>n_total</t>
  </si>
  <si>
    <t>experiments</t>
  </si>
  <si>
    <t>counterbalancing_group</t>
  </si>
  <si>
    <t>ratio_saved_victims</t>
  </si>
  <si>
    <t>10 (vivid victims)</t>
  </si>
  <si>
    <t>FIXED</t>
  </si>
  <si>
    <t>FORMULA EXCEPT WHERE NOTED</t>
  </si>
  <si>
    <t>FORMULA in CB1, COPIED in CB2</t>
  </si>
  <si>
    <t>I THINK THESE ARE THE WRONG ITEMS</t>
  </si>
  <si>
    <t>OLD AND INCORRECT VERSION</t>
  </si>
  <si>
    <t>CORRECT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</si>
</sst>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2"/>
      <color theme="1"/>
      <name val="ArialMT"/>
      <family val="2"/>
    </font>
    <font>
      <sz val="12"/>
      <color theme="1"/>
      <name val="ArialMT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ArialMT"/>
      <family val="2"/>
    </font>
    <font>
      <b/>
      <sz val="13"/>
      <color theme="3"/>
      <name val="ArialMT"/>
      <family val="2"/>
    </font>
    <font>
      <b/>
      <sz val="11"/>
      <color theme="3"/>
      <name val="ArialMT"/>
      <family val="2"/>
    </font>
    <font>
      <sz val="12"/>
      <color rgb="FF006100"/>
      <name val="ArialMT"/>
      <family val="2"/>
    </font>
    <font>
      <sz val="12"/>
      <color rgb="FF9C0006"/>
      <name val="ArialMT"/>
      <family val="2"/>
    </font>
    <font>
      <sz val="12"/>
      <color rgb="FF9C5700"/>
      <name val="ArialMT"/>
      <family val="2"/>
    </font>
    <font>
      <sz val="12"/>
      <color rgb="FF3F3F76"/>
      <name val="ArialMT"/>
      <family val="2"/>
    </font>
    <font>
      <b/>
      <sz val="12"/>
      <color rgb="FF3F3F3F"/>
      <name val="ArialMT"/>
      <family val="2"/>
    </font>
    <font>
      <b/>
      <sz val="12"/>
      <color rgb="FFFA7D00"/>
      <name val="ArialMT"/>
      <family val="2"/>
    </font>
    <font>
      <sz val="12"/>
      <color rgb="FFFA7D00"/>
      <name val="ArialMT"/>
      <family val="2"/>
    </font>
    <font>
      <b/>
      <sz val="12"/>
      <color theme="0"/>
      <name val="ArialMT"/>
      <family val="2"/>
    </font>
    <font>
      <sz val="12"/>
      <color rgb="FFFF0000"/>
      <name val="ArialMT"/>
      <family val="2"/>
    </font>
    <font>
      <i/>
      <sz val="12"/>
      <color rgb="FF7F7F7F"/>
      <name val="ArialMT"/>
      <family val="2"/>
    </font>
    <font>
      <b/>
      <sz val="12"/>
      <color theme="1"/>
      <name val="ArialMT"/>
      <family val="2"/>
    </font>
    <font>
      <sz val="12"/>
      <color theme="0"/>
      <name val="ArialMT"/>
      <family val="2"/>
    </font>
    <font>
      <sz val="12"/>
      <color theme="1"/>
      <name val="ArialMT"/>
    </font>
    <font>
      <sz val="12"/>
      <color rgb="FFFF0000"/>
      <name val="ArialMT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18" fillId="0" borderId="0" xfId="0" applyFont="1"/>
    <xf numFmtId="0" fontId="18" fillId="33" borderId="0" xfId="0" applyFont="1" applyFill="1"/>
    <xf numFmtId="0" fontId="18" fillId="34" borderId="0" xfId="0" applyFont="1" applyFill="1"/>
    <xf numFmtId="0" fontId="18" fillId="35" borderId="0" xfId="0" applyFont="1" applyFill="1"/>
    <xf numFmtId="0" fontId="0" fillId="36" borderId="0" xfId="0" applyFill="1"/>
    <xf numFmtId="0" fontId="0" fillId="34" borderId="0" xfId="0" applyFill="1"/>
    <xf numFmtId="0" fontId="0" fillId="35" borderId="0" xfId="0" applyFill="1"/>
    <xf numFmtId="0" fontId="19" fillId="35" borderId="0" xfId="0" applyFont="1" applyFill="1"/>
    <xf numFmtId="0" fontId="19" fillId="34" borderId="0" xfId="0" applyFont="1" applyFill="1"/>
    <xf numFmtId="0" fontId="19" fillId="33" borderId="0" xfId="0" applyFont="1" applyFill="1"/>
    <xf numFmtId="0" fontId="0" fillId="0" borderId="10" xfId="0" applyBorder="1"/>
    <xf numFmtId="0" fontId="18" fillId="35" borderId="11" xfId="0" applyFont="1" applyFill="1" applyBorder="1"/>
    <xf numFmtId="0" fontId="19" fillId="35" borderId="11" xfId="0" applyFont="1" applyFill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8" fillId="35" borderId="16" xfId="0" applyFont="1" applyFill="1" applyBorder="1"/>
    <xf numFmtId="0" fontId="19" fillId="35" borderId="16" xfId="0" applyFont="1" applyFill="1" applyBorder="1"/>
    <xf numFmtId="0" fontId="0" fillId="0" borderId="16" xfId="0" applyBorder="1"/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4"/>
  <sheetViews>
    <sheetView tabSelected="1" workbookViewId="0">
      <selection activeCell="R29" sqref="R29"/>
    </sheetView>
  </sheetViews>
  <sheetFormatPr baseColWidth="10" defaultRowHeight="16"/>
  <cols>
    <col min="1" max="1" width="20.140625" bestFit="1" customWidth="1"/>
  </cols>
  <sheetData>
    <row r="1" spans="1:18">
      <c r="A1" t="s">
        <v>4</v>
      </c>
      <c r="B1" s="1" t="s">
        <v>0</v>
      </c>
      <c r="C1" s="1" t="s">
        <v>1</v>
      </c>
      <c r="D1" s="1" t="s">
        <v>2</v>
      </c>
      <c r="E1" s="1" t="s">
        <v>5</v>
      </c>
      <c r="F1" s="1" t="s">
        <v>3</v>
      </c>
      <c r="R1" t="s">
        <v>11</v>
      </c>
    </row>
    <row r="2" spans="1:18">
      <c r="A2">
        <v>1</v>
      </c>
      <c r="B2" s="2">
        <v>300</v>
      </c>
      <c r="C2" s="10">
        <v>400</v>
      </c>
      <c r="D2" s="2">
        <v>700</v>
      </c>
      <c r="E2" s="2">
        <f>C2/B2</f>
        <v>1.3333333333333333</v>
      </c>
      <c r="F2" s="2" t="s">
        <v>6</v>
      </c>
      <c r="H2" t="b">
        <f>(B2*E2)=C2</f>
        <v>1</v>
      </c>
    </row>
    <row r="3" spans="1:18">
      <c r="A3">
        <v>1</v>
      </c>
      <c r="B3" s="2">
        <v>20</v>
      </c>
      <c r="C3" s="2">
        <f>2*B3</f>
        <v>40</v>
      </c>
      <c r="D3" s="2">
        <v>600</v>
      </c>
      <c r="E3" s="2">
        <f t="shared" ref="E3:E10" si="0">C3/B3</f>
        <v>2</v>
      </c>
      <c r="F3" s="2" t="s">
        <v>6</v>
      </c>
      <c r="H3" t="b">
        <f t="shared" ref="H3:H25" si="1">(B3*E3)=C3</f>
        <v>1</v>
      </c>
    </row>
    <row r="4" spans="1:18">
      <c r="A4">
        <v>1</v>
      </c>
      <c r="B4" s="2">
        <v>10</v>
      </c>
      <c r="C4" s="10">
        <v>30</v>
      </c>
      <c r="D4" s="2">
        <v>40</v>
      </c>
      <c r="E4" s="2">
        <f t="shared" si="0"/>
        <v>3</v>
      </c>
      <c r="F4" s="2" t="s">
        <v>6</v>
      </c>
      <c r="H4" t="b">
        <f t="shared" si="1"/>
        <v>1</v>
      </c>
    </row>
    <row r="5" spans="1:18">
      <c r="A5">
        <v>1</v>
      </c>
      <c r="B5" s="2">
        <v>20</v>
      </c>
      <c r="C5" s="2">
        <f>B5*4</f>
        <v>80</v>
      </c>
      <c r="D5" s="2">
        <v>250</v>
      </c>
      <c r="E5" s="2">
        <f t="shared" si="0"/>
        <v>4</v>
      </c>
      <c r="F5" s="2" t="s">
        <v>6</v>
      </c>
      <c r="H5" t="b">
        <f t="shared" si="1"/>
        <v>1</v>
      </c>
    </row>
    <row r="6" spans="1:18">
      <c r="A6">
        <v>1</v>
      </c>
      <c r="B6" s="3">
        <v>40</v>
      </c>
      <c r="C6" s="9">
        <v>400</v>
      </c>
      <c r="D6" s="3">
        <v>440</v>
      </c>
      <c r="E6" s="3">
        <f t="shared" si="0"/>
        <v>10</v>
      </c>
      <c r="F6" s="3" t="s">
        <v>6</v>
      </c>
      <c r="H6" t="b">
        <f t="shared" si="1"/>
        <v>1</v>
      </c>
    </row>
    <row r="7" spans="1:18">
      <c r="A7">
        <v>1</v>
      </c>
      <c r="B7" s="3">
        <v>50</v>
      </c>
      <c r="C7" s="3">
        <f>B7*15</f>
        <v>750</v>
      </c>
      <c r="D7" s="3">
        <v>320</v>
      </c>
      <c r="E7" s="3">
        <f t="shared" si="0"/>
        <v>15</v>
      </c>
      <c r="F7" s="3" t="s">
        <v>6</v>
      </c>
      <c r="H7" t="b">
        <f t="shared" si="1"/>
        <v>1</v>
      </c>
    </row>
    <row r="8" spans="1:18">
      <c r="A8">
        <v>1</v>
      </c>
      <c r="B8" s="3">
        <v>30</v>
      </c>
      <c r="C8" s="9">
        <v>600</v>
      </c>
      <c r="D8" s="3">
        <v>630</v>
      </c>
      <c r="E8" s="3">
        <f t="shared" si="0"/>
        <v>20</v>
      </c>
      <c r="F8" s="3" t="s">
        <v>6</v>
      </c>
      <c r="H8" t="b">
        <f t="shared" si="1"/>
        <v>1</v>
      </c>
    </row>
    <row r="9" spans="1:18">
      <c r="A9">
        <v>1</v>
      </c>
      <c r="B9" s="3">
        <v>100</v>
      </c>
      <c r="C9" s="9">
        <v>5000</v>
      </c>
      <c r="D9" s="3">
        <v>5100</v>
      </c>
      <c r="E9" s="3">
        <f t="shared" si="0"/>
        <v>50</v>
      </c>
      <c r="F9" s="3" t="s">
        <v>6</v>
      </c>
      <c r="H9" t="b">
        <f t="shared" si="1"/>
        <v>1</v>
      </c>
    </row>
    <row r="10" spans="1:18" ht="17" thickBot="1">
      <c r="A10">
        <v>1</v>
      </c>
      <c r="B10" s="3">
        <v>40</v>
      </c>
      <c r="C10" s="9">
        <v>4000</v>
      </c>
      <c r="D10" s="3">
        <v>4040</v>
      </c>
      <c r="E10" s="3">
        <f t="shared" si="0"/>
        <v>100</v>
      </c>
      <c r="F10" s="3" t="s">
        <v>6</v>
      </c>
      <c r="H10" t="b">
        <f t="shared" si="1"/>
        <v>1</v>
      </c>
    </row>
    <row r="11" spans="1:18">
      <c r="A11" s="11">
        <v>1</v>
      </c>
      <c r="B11" s="12">
        <v>10</v>
      </c>
      <c r="C11" s="13">
        <v>4000</v>
      </c>
      <c r="D11" s="12">
        <v>4010</v>
      </c>
      <c r="E11" s="13">
        <v>500</v>
      </c>
      <c r="F11" s="12" t="s">
        <v>6</v>
      </c>
      <c r="G11" s="14"/>
      <c r="H11" s="14" t="b">
        <f t="shared" si="1"/>
        <v>0</v>
      </c>
      <c r="I11" s="14"/>
      <c r="J11" s="14"/>
      <c r="K11" s="14"/>
      <c r="L11" s="14"/>
      <c r="M11" s="14"/>
      <c r="N11" s="14"/>
      <c r="O11" s="14"/>
      <c r="P11" s="15"/>
      <c r="R11" t="s">
        <v>10</v>
      </c>
    </row>
    <row r="12" spans="1:18">
      <c r="A12" s="16">
        <v>1</v>
      </c>
      <c r="B12" s="4">
        <v>200</v>
      </c>
      <c r="C12" s="4">
        <f>600*B12</f>
        <v>120000</v>
      </c>
      <c r="D12" s="4">
        <v>12020</v>
      </c>
      <c r="E12" s="8">
        <v>2000</v>
      </c>
      <c r="F12" s="4" t="s">
        <v>6</v>
      </c>
      <c r="H12" t="b">
        <f t="shared" si="1"/>
        <v>0</v>
      </c>
      <c r="P12" s="17"/>
    </row>
    <row r="13" spans="1:18" ht="17" thickBot="1">
      <c r="A13" s="18">
        <v>1</v>
      </c>
      <c r="B13" s="19">
        <v>30</v>
      </c>
      <c r="C13" s="20">
        <v>24000</v>
      </c>
      <c r="D13" s="19">
        <v>24030</v>
      </c>
      <c r="E13" s="20">
        <v>10000</v>
      </c>
      <c r="F13" s="19" t="s">
        <v>6</v>
      </c>
      <c r="G13" s="21"/>
      <c r="H13" s="21" t="b">
        <f t="shared" si="1"/>
        <v>0</v>
      </c>
      <c r="I13" s="21"/>
      <c r="J13" s="21"/>
      <c r="K13" s="21"/>
      <c r="L13" s="21"/>
      <c r="M13" s="21"/>
      <c r="N13" s="21"/>
      <c r="O13" s="21"/>
      <c r="P13" s="22"/>
    </row>
    <row r="14" spans="1:18">
      <c r="A14">
        <v>2</v>
      </c>
      <c r="B14" s="3">
        <v>30</v>
      </c>
      <c r="C14">
        <f>B14*E14</f>
        <v>40</v>
      </c>
      <c r="D14" s="5">
        <f>SUM(B14:C14)</f>
        <v>70</v>
      </c>
      <c r="E14" s="5">
        <f>E2</f>
        <v>1.3333333333333333</v>
      </c>
      <c r="F14" s="2" t="s">
        <v>6</v>
      </c>
      <c r="H14" t="b">
        <f t="shared" si="1"/>
        <v>1</v>
      </c>
    </row>
    <row r="15" spans="1:18">
      <c r="A15">
        <v>2</v>
      </c>
      <c r="B15" s="3">
        <v>50</v>
      </c>
      <c r="C15">
        <f t="shared" ref="C15:C25" si="2">B15*E15</f>
        <v>100</v>
      </c>
      <c r="D15" s="5">
        <f t="shared" ref="D15:D23" si="3">SUM(B15:C15)</f>
        <v>150</v>
      </c>
      <c r="E15" s="5">
        <f t="shared" ref="E15:E25" si="4">E3</f>
        <v>2</v>
      </c>
      <c r="F15" s="2" t="s">
        <v>6</v>
      </c>
      <c r="H15" t="b">
        <f t="shared" si="1"/>
        <v>1</v>
      </c>
    </row>
    <row r="16" spans="1:18">
      <c r="A16">
        <v>2</v>
      </c>
      <c r="B16" s="3">
        <v>40</v>
      </c>
      <c r="C16">
        <f t="shared" si="2"/>
        <v>120</v>
      </c>
      <c r="D16" s="5">
        <f t="shared" si="3"/>
        <v>160</v>
      </c>
      <c r="E16" s="5">
        <f t="shared" si="4"/>
        <v>3</v>
      </c>
      <c r="F16" s="2" t="s">
        <v>6</v>
      </c>
      <c r="H16" t="b">
        <f t="shared" si="1"/>
        <v>1</v>
      </c>
    </row>
    <row r="17" spans="1:18">
      <c r="A17">
        <v>2</v>
      </c>
      <c r="B17" s="4">
        <v>200</v>
      </c>
      <c r="C17">
        <f t="shared" si="2"/>
        <v>800</v>
      </c>
      <c r="D17" s="5">
        <f>SUM(B17:C17)</f>
        <v>1000</v>
      </c>
      <c r="E17" s="5">
        <f t="shared" si="4"/>
        <v>4</v>
      </c>
      <c r="F17" s="2" t="s">
        <v>6</v>
      </c>
      <c r="H17" t="b">
        <f t="shared" si="1"/>
        <v>1</v>
      </c>
    </row>
    <row r="18" spans="1:18">
      <c r="A18">
        <v>2</v>
      </c>
      <c r="B18" s="2">
        <v>300</v>
      </c>
      <c r="C18">
        <f t="shared" si="2"/>
        <v>3000</v>
      </c>
      <c r="D18" s="6">
        <f t="shared" si="3"/>
        <v>3300</v>
      </c>
      <c r="E18" s="6">
        <f t="shared" si="4"/>
        <v>10</v>
      </c>
      <c r="F18" s="3" t="s">
        <v>6</v>
      </c>
      <c r="H18" t="b">
        <f t="shared" si="1"/>
        <v>1</v>
      </c>
    </row>
    <row r="19" spans="1:18">
      <c r="A19">
        <v>2</v>
      </c>
      <c r="B19" s="2">
        <v>20</v>
      </c>
      <c r="C19">
        <f t="shared" si="2"/>
        <v>300</v>
      </c>
      <c r="D19" s="6">
        <f t="shared" si="3"/>
        <v>320</v>
      </c>
      <c r="E19" s="6">
        <f t="shared" si="4"/>
        <v>15</v>
      </c>
      <c r="F19" s="3" t="s">
        <v>6</v>
      </c>
      <c r="H19" t="b">
        <f t="shared" si="1"/>
        <v>1</v>
      </c>
    </row>
    <row r="20" spans="1:18">
      <c r="A20">
        <v>2</v>
      </c>
      <c r="B20" s="2">
        <v>10</v>
      </c>
      <c r="C20">
        <f t="shared" si="2"/>
        <v>200</v>
      </c>
      <c r="D20" s="6">
        <f t="shared" si="3"/>
        <v>210</v>
      </c>
      <c r="E20" s="6">
        <f t="shared" si="4"/>
        <v>20</v>
      </c>
      <c r="F20" s="3" t="s">
        <v>6</v>
      </c>
      <c r="H20" t="b">
        <f t="shared" si="1"/>
        <v>1</v>
      </c>
    </row>
    <row r="21" spans="1:18">
      <c r="A21">
        <v>2</v>
      </c>
      <c r="B21" s="4">
        <v>10</v>
      </c>
      <c r="C21">
        <f t="shared" si="2"/>
        <v>500</v>
      </c>
      <c r="D21" s="6">
        <f t="shared" si="3"/>
        <v>510</v>
      </c>
      <c r="E21" s="6">
        <f t="shared" si="4"/>
        <v>50</v>
      </c>
      <c r="F21" s="3" t="s">
        <v>6</v>
      </c>
      <c r="H21" t="b">
        <f t="shared" si="1"/>
        <v>1</v>
      </c>
    </row>
    <row r="22" spans="1:18">
      <c r="A22">
        <v>2</v>
      </c>
      <c r="B22" s="4">
        <v>30</v>
      </c>
      <c r="C22">
        <f t="shared" si="2"/>
        <v>3000</v>
      </c>
      <c r="D22" s="6">
        <f t="shared" si="3"/>
        <v>3030</v>
      </c>
      <c r="E22" s="6">
        <f t="shared" si="4"/>
        <v>100</v>
      </c>
      <c r="F22" s="3" t="s">
        <v>6</v>
      </c>
      <c r="H22" t="b">
        <f t="shared" si="1"/>
        <v>1</v>
      </c>
    </row>
    <row r="23" spans="1:18">
      <c r="A23">
        <v>2</v>
      </c>
      <c r="B23" s="3">
        <v>40</v>
      </c>
      <c r="C23">
        <f t="shared" si="2"/>
        <v>20000</v>
      </c>
      <c r="D23" s="7">
        <f t="shared" si="3"/>
        <v>20040</v>
      </c>
      <c r="E23" s="7">
        <f t="shared" si="4"/>
        <v>500</v>
      </c>
      <c r="F23" s="4" t="s">
        <v>6</v>
      </c>
      <c r="H23" t="b">
        <f t="shared" si="1"/>
        <v>1</v>
      </c>
    </row>
    <row r="24" spans="1:18">
      <c r="A24">
        <v>2</v>
      </c>
      <c r="B24" s="2">
        <v>20</v>
      </c>
      <c r="C24">
        <f t="shared" si="2"/>
        <v>40000</v>
      </c>
      <c r="D24" s="7">
        <f>SUM(B24:C24)</f>
        <v>40020</v>
      </c>
      <c r="E24" s="7">
        <f t="shared" si="4"/>
        <v>2000</v>
      </c>
      <c r="F24" s="4" t="s">
        <v>6</v>
      </c>
      <c r="H24" t="b">
        <f t="shared" si="1"/>
        <v>1</v>
      </c>
    </row>
    <row r="25" spans="1:18">
      <c r="A25">
        <v>2</v>
      </c>
      <c r="B25" s="3">
        <v>100</v>
      </c>
      <c r="C25">
        <f t="shared" si="2"/>
        <v>1000000</v>
      </c>
      <c r="D25" s="7">
        <f>SUM(B25:C25)</f>
        <v>1000100</v>
      </c>
      <c r="E25" s="7">
        <f t="shared" si="4"/>
        <v>10000</v>
      </c>
      <c r="F25" s="4" t="s">
        <v>6</v>
      </c>
      <c r="H25" t="b">
        <f t="shared" si="1"/>
        <v>1</v>
      </c>
    </row>
    <row r="27" spans="1:18">
      <c r="A27" t="s">
        <v>4</v>
      </c>
      <c r="B27" s="1" t="s">
        <v>0</v>
      </c>
      <c r="C27" s="1" t="s">
        <v>1</v>
      </c>
      <c r="D27" s="1" t="s">
        <v>2</v>
      </c>
      <c r="E27" s="1" t="s">
        <v>5</v>
      </c>
      <c r="F27" s="1" t="s">
        <v>3</v>
      </c>
    </row>
    <row r="28" spans="1:18">
      <c r="A28">
        <v>1</v>
      </c>
      <c r="B28" s="2">
        <v>300</v>
      </c>
      <c r="C28" s="10">
        <v>400</v>
      </c>
      <c r="D28" s="10">
        <v>700</v>
      </c>
      <c r="E28" s="2">
        <f>C28/B28</f>
        <v>1.3333333333333333</v>
      </c>
      <c r="F28" s="2" t="s">
        <v>6</v>
      </c>
      <c r="H28" t="b">
        <f>(B28*E28)=C28</f>
        <v>1</v>
      </c>
      <c r="K28" t="b">
        <f t="shared" ref="K28:P28" si="5">A28=A2</f>
        <v>1</v>
      </c>
      <c r="L28" t="b">
        <f t="shared" si="5"/>
        <v>1</v>
      </c>
      <c r="M28" t="b">
        <f t="shared" si="5"/>
        <v>1</v>
      </c>
      <c r="N28" t="b">
        <f t="shared" si="5"/>
        <v>1</v>
      </c>
      <c r="O28" t="b">
        <f t="shared" si="5"/>
        <v>1</v>
      </c>
      <c r="P28" t="b">
        <f t="shared" si="5"/>
        <v>1</v>
      </c>
      <c r="R28" t="s">
        <v>12</v>
      </c>
    </row>
    <row r="29" spans="1:18">
      <c r="A29">
        <v>1</v>
      </c>
      <c r="B29" s="2">
        <v>20</v>
      </c>
      <c r="C29" s="10">
        <f>2*B29</f>
        <v>40</v>
      </c>
      <c r="D29" s="10">
        <v>600</v>
      </c>
      <c r="E29" s="2">
        <f t="shared" ref="E29:E39" si="6">C29/B29</f>
        <v>2</v>
      </c>
      <c r="F29" s="2" t="s">
        <v>6</v>
      </c>
      <c r="H29" t="b">
        <f t="shared" ref="H29:H51" si="7">(B29*E29)=C29</f>
        <v>1</v>
      </c>
      <c r="K29" t="b">
        <f t="shared" ref="K29:K51" si="8">A29=A3</f>
        <v>1</v>
      </c>
      <c r="L29" t="b">
        <f t="shared" ref="L29:L51" si="9">B29=B3</f>
        <v>1</v>
      </c>
      <c r="M29" t="b">
        <f t="shared" ref="M29:M51" si="10">C29=C3</f>
        <v>1</v>
      </c>
      <c r="N29" t="b">
        <f t="shared" ref="N29:N51" si="11">D29=D3</f>
        <v>1</v>
      </c>
      <c r="O29" t="b">
        <f t="shared" ref="O29:O51" si="12">E29=E3</f>
        <v>1</v>
      </c>
      <c r="P29" t="b">
        <f t="shared" ref="P29:P51" si="13">F29=F3</f>
        <v>1</v>
      </c>
    </row>
    <row r="30" spans="1:18">
      <c r="A30">
        <v>1</v>
      </c>
      <c r="B30" s="2">
        <v>10</v>
      </c>
      <c r="C30" s="10">
        <v>30</v>
      </c>
      <c r="D30" s="10">
        <v>40</v>
      </c>
      <c r="E30" s="2">
        <f t="shared" si="6"/>
        <v>3</v>
      </c>
      <c r="F30" s="2" t="s">
        <v>6</v>
      </c>
      <c r="H30" t="b">
        <f t="shared" si="7"/>
        <v>1</v>
      </c>
      <c r="K30" t="b">
        <f t="shared" si="8"/>
        <v>1</v>
      </c>
      <c r="L30" t="b">
        <f t="shared" si="9"/>
        <v>1</v>
      </c>
      <c r="M30" t="b">
        <f t="shared" si="10"/>
        <v>1</v>
      </c>
      <c r="N30" t="b">
        <f t="shared" si="11"/>
        <v>1</v>
      </c>
      <c r="O30" t="b">
        <f t="shared" si="12"/>
        <v>1</v>
      </c>
      <c r="P30" t="b">
        <f t="shared" si="13"/>
        <v>1</v>
      </c>
    </row>
    <row r="31" spans="1:18">
      <c r="A31">
        <v>1</v>
      </c>
      <c r="B31" s="2">
        <v>20</v>
      </c>
      <c r="C31" s="2">
        <f>B31*4</f>
        <v>80</v>
      </c>
      <c r="D31" s="10">
        <v>250</v>
      </c>
      <c r="E31" s="2">
        <f t="shared" si="6"/>
        <v>4</v>
      </c>
      <c r="F31" s="2" t="s">
        <v>6</v>
      </c>
      <c r="H31" t="b">
        <f t="shared" si="7"/>
        <v>1</v>
      </c>
      <c r="K31" t="b">
        <f t="shared" si="8"/>
        <v>1</v>
      </c>
      <c r="L31" t="b">
        <f t="shared" si="9"/>
        <v>1</v>
      </c>
      <c r="M31" t="b">
        <f t="shared" si="10"/>
        <v>1</v>
      </c>
      <c r="N31" t="b">
        <f t="shared" si="11"/>
        <v>1</v>
      </c>
      <c r="O31" t="b">
        <f t="shared" si="12"/>
        <v>1</v>
      </c>
      <c r="P31" t="b">
        <f t="shared" si="13"/>
        <v>1</v>
      </c>
    </row>
    <row r="32" spans="1:18">
      <c r="A32">
        <v>1</v>
      </c>
      <c r="B32" s="3">
        <v>40</v>
      </c>
      <c r="C32" s="9">
        <v>400</v>
      </c>
      <c r="D32" s="9">
        <v>440</v>
      </c>
      <c r="E32" s="3">
        <f t="shared" si="6"/>
        <v>10</v>
      </c>
      <c r="F32" s="3" t="s">
        <v>6</v>
      </c>
      <c r="H32" t="b">
        <f t="shared" si="7"/>
        <v>1</v>
      </c>
      <c r="K32" t="b">
        <f t="shared" si="8"/>
        <v>1</v>
      </c>
      <c r="L32" t="b">
        <f t="shared" si="9"/>
        <v>1</v>
      </c>
      <c r="M32" t="b">
        <f t="shared" si="10"/>
        <v>1</v>
      </c>
      <c r="N32" t="b">
        <f t="shared" si="11"/>
        <v>1</v>
      </c>
      <c r="O32" t="b">
        <f t="shared" si="12"/>
        <v>1</v>
      </c>
      <c r="P32" t="b">
        <f t="shared" si="13"/>
        <v>1</v>
      </c>
    </row>
    <row r="33" spans="1:16">
      <c r="A33">
        <v>1</v>
      </c>
      <c r="B33" s="3">
        <v>50</v>
      </c>
      <c r="C33" s="9">
        <f>B33*15</f>
        <v>750</v>
      </c>
      <c r="D33" s="9">
        <v>320</v>
      </c>
      <c r="E33" s="3">
        <f t="shared" si="6"/>
        <v>15</v>
      </c>
      <c r="F33" s="3" t="s">
        <v>6</v>
      </c>
      <c r="H33" t="b">
        <f t="shared" si="7"/>
        <v>1</v>
      </c>
      <c r="K33" t="b">
        <f t="shared" si="8"/>
        <v>1</v>
      </c>
      <c r="L33" t="b">
        <f t="shared" si="9"/>
        <v>1</v>
      </c>
      <c r="M33" t="b">
        <f t="shared" si="10"/>
        <v>1</v>
      </c>
      <c r="N33" t="b">
        <f t="shared" si="11"/>
        <v>1</v>
      </c>
      <c r="O33" t="b">
        <f t="shared" si="12"/>
        <v>1</v>
      </c>
      <c r="P33" t="b">
        <f t="shared" si="13"/>
        <v>1</v>
      </c>
    </row>
    <row r="34" spans="1:16">
      <c r="A34">
        <v>1</v>
      </c>
      <c r="B34" s="3">
        <v>30</v>
      </c>
      <c r="C34" s="9">
        <v>600</v>
      </c>
      <c r="D34" s="9">
        <v>630</v>
      </c>
      <c r="E34" s="3">
        <f t="shared" si="6"/>
        <v>20</v>
      </c>
      <c r="F34" s="3" t="s">
        <v>6</v>
      </c>
      <c r="H34" t="b">
        <f t="shared" si="7"/>
        <v>1</v>
      </c>
      <c r="K34" t="b">
        <f t="shared" si="8"/>
        <v>1</v>
      </c>
      <c r="L34" t="b">
        <f t="shared" si="9"/>
        <v>1</v>
      </c>
      <c r="M34" t="b">
        <f t="shared" si="10"/>
        <v>1</v>
      </c>
      <c r="N34" t="b">
        <f t="shared" si="11"/>
        <v>1</v>
      </c>
      <c r="O34" t="b">
        <f t="shared" si="12"/>
        <v>1</v>
      </c>
      <c r="P34" t="b">
        <f t="shared" si="13"/>
        <v>1</v>
      </c>
    </row>
    <row r="35" spans="1:16">
      <c r="A35">
        <v>1</v>
      </c>
      <c r="B35" s="3">
        <v>100</v>
      </c>
      <c r="C35" s="9">
        <v>5000</v>
      </c>
      <c r="D35" s="9">
        <v>5100</v>
      </c>
      <c r="E35" s="3">
        <f t="shared" si="6"/>
        <v>50</v>
      </c>
      <c r="F35" s="3" t="s">
        <v>6</v>
      </c>
      <c r="H35" t="b">
        <f t="shared" si="7"/>
        <v>1</v>
      </c>
      <c r="K35" t="b">
        <f t="shared" si="8"/>
        <v>1</v>
      </c>
      <c r="L35" t="b">
        <f t="shared" si="9"/>
        <v>1</v>
      </c>
      <c r="M35" t="b">
        <f t="shared" si="10"/>
        <v>1</v>
      </c>
      <c r="N35" t="b">
        <f t="shared" si="11"/>
        <v>1</v>
      </c>
      <c r="O35" t="b">
        <f t="shared" si="12"/>
        <v>1</v>
      </c>
      <c r="P35" t="b">
        <f t="shared" si="13"/>
        <v>1</v>
      </c>
    </row>
    <row r="36" spans="1:16">
      <c r="A36">
        <v>1</v>
      </c>
      <c r="B36" s="3">
        <v>40</v>
      </c>
      <c r="C36" s="9">
        <v>4000</v>
      </c>
      <c r="D36" s="9">
        <v>4040</v>
      </c>
      <c r="E36" s="3">
        <f t="shared" si="6"/>
        <v>100</v>
      </c>
      <c r="F36" s="3" t="s">
        <v>6</v>
      </c>
      <c r="H36" t="b">
        <f t="shared" si="7"/>
        <v>1</v>
      </c>
      <c r="K36" t="b">
        <f t="shared" si="8"/>
        <v>1</v>
      </c>
      <c r="L36" t="b">
        <f t="shared" si="9"/>
        <v>1</v>
      </c>
      <c r="M36" t="b">
        <f t="shared" si="10"/>
        <v>1</v>
      </c>
      <c r="N36" t="b">
        <f t="shared" si="11"/>
        <v>1</v>
      </c>
      <c r="O36" t="b">
        <f t="shared" si="12"/>
        <v>1</v>
      </c>
      <c r="P36" t="b">
        <f t="shared" si="13"/>
        <v>1</v>
      </c>
    </row>
    <row r="37" spans="1:16">
      <c r="A37">
        <v>1</v>
      </c>
      <c r="B37" s="4">
        <v>10</v>
      </c>
      <c r="C37" s="8">
        <v>5000</v>
      </c>
      <c r="D37" s="8">
        <v>4010</v>
      </c>
      <c r="E37" s="4">
        <f t="shared" si="6"/>
        <v>500</v>
      </c>
      <c r="F37" s="4" t="s">
        <v>6</v>
      </c>
      <c r="H37" t="b">
        <f t="shared" si="7"/>
        <v>1</v>
      </c>
      <c r="K37" t="b">
        <f t="shared" si="8"/>
        <v>1</v>
      </c>
      <c r="L37" t="b">
        <f t="shared" si="9"/>
        <v>1</v>
      </c>
      <c r="M37" t="b">
        <f t="shared" si="10"/>
        <v>0</v>
      </c>
      <c r="N37" t="b">
        <f t="shared" si="11"/>
        <v>1</v>
      </c>
      <c r="O37" t="b">
        <f t="shared" si="12"/>
        <v>1</v>
      </c>
      <c r="P37" t="b">
        <f t="shared" si="13"/>
        <v>1</v>
      </c>
    </row>
    <row r="38" spans="1:16">
      <c r="A38">
        <v>1</v>
      </c>
      <c r="B38" s="4">
        <v>200</v>
      </c>
      <c r="C38" s="8">
        <v>400000</v>
      </c>
      <c r="D38" s="8">
        <v>12020</v>
      </c>
      <c r="E38" s="4">
        <f t="shared" si="6"/>
        <v>2000</v>
      </c>
      <c r="F38" s="4" t="s">
        <v>6</v>
      </c>
      <c r="H38" t="b">
        <f t="shared" si="7"/>
        <v>1</v>
      </c>
      <c r="K38" t="b">
        <f t="shared" si="8"/>
        <v>1</v>
      </c>
      <c r="L38" t="b">
        <f t="shared" si="9"/>
        <v>1</v>
      </c>
      <c r="M38" t="b">
        <f t="shared" si="10"/>
        <v>0</v>
      </c>
      <c r="N38" t="b">
        <f t="shared" si="11"/>
        <v>1</v>
      </c>
      <c r="O38" t="b">
        <f t="shared" si="12"/>
        <v>1</v>
      </c>
      <c r="P38" t="b">
        <f t="shared" si="13"/>
        <v>1</v>
      </c>
    </row>
    <row r="39" spans="1:16">
      <c r="A39">
        <v>1</v>
      </c>
      <c r="B39" s="4">
        <v>30</v>
      </c>
      <c r="C39" s="8">
        <v>300000</v>
      </c>
      <c r="D39" s="8">
        <v>24030</v>
      </c>
      <c r="E39" s="4">
        <f t="shared" si="6"/>
        <v>10000</v>
      </c>
      <c r="F39" s="4" t="s">
        <v>6</v>
      </c>
      <c r="H39" t="b">
        <f t="shared" si="7"/>
        <v>1</v>
      </c>
      <c r="K39" t="b">
        <f t="shared" si="8"/>
        <v>1</v>
      </c>
      <c r="L39" t="b">
        <f t="shared" si="9"/>
        <v>1</v>
      </c>
      <c r="M39" t="b">
        <f t="shared" si="10"/>
        <v>0</v>
      </c>
      <c r="N39" t="b">
        <f t="shared" si="11"/>
        <v>1</v>
      </c>
      <c r="O39" t="b">
        <f t="shared" si="12"/>
        <v>1</v>
      </c>
      <c r="P39" t="b">
        <f t="shared" si="13"/>
        <v>1</v>
      </c>
    </row>
    <row r="40" spans="1:16">
      <c r="A40">
        <v>2</v>
      </c>
      <c r="B40" s="3">
        <v>30</v>
      </c>
      <c r="C40">
        <f>B40*E40</f>
        <v>40</v>
      </c>
      <c r="D40" s="5">
        <f>SUM(B40:C40)</f>
        <v>70</v>
      </c>
      <c r="E40" s="5">
        <f>E28</f>
        <v>1.3333333333333333</v>
      </c>
      <c r="F40" s="2" t="s">
        <v>6</v>
      </c>
      <c r="H40" t="b">
        <f t="shared" si="7"/>
        <v>1</v>
      </c>
      <c r="K40" t="b">
        <f t="shared" si="8"/>
        <v>1</v>
      </c>
      <c r="L40" t="b">
        <f t="shared" si="9"/>
        <v>1</v>
      </c>
      <c r="M40" t="b">
        <f t="shared" si="10"/>
        <v>1</v>
      </c>
      <c r="N40" t="b">
        <f t="shared" si="11"/>
        <v>1</v>
      </c>
      <c r="O40" t="b">
        <f t="shared" si="12"/>
        <v>1</v>
      </c>
      <c r="P40" t="b">
        <f t="shared" si="13"/>
        <v>1</v>
      </c>
    </row>
    <row r="41" spans="1:16">
      <c r="A41">
        <v>2</v>
      </c>
      <c r="B41" s="3">
        <v>50</v>
      </c>
      <c r="C41">
        <f t="shared" ref="C41:C51" si="14">B41*E41</f>
        <v>100</v>
      </c>
      <c r="D41" s="5">
        <f t="shared" ref="D41:D49" si="15">SUM(B41:C41)</f>
        <v>150</v>
      </c>
      <c r="E41" s="5">
        <f t="shared" ref="E41:E51" si="16">E29</f>
        <v>2</v>
      </c>
      <c r="F41" s="2" t="s">
        <v>6</v>
      </c>
      <c r="H41" t="b">
        <f t="shared" si="7"/>
        <v>1</v>
      </c>
      <c r="K41" t="b">
        <f t="shared" si="8"/>
        <v>1</v>
      </c>
      <c r="L41" t="b">
        <f t="shared" si="9"/>
        <v>1</v>
      </c>
      <c r="M41" t="b">
        <f t="shared" si="10"/>
        <v>1</v>
      </c>
      <c r="N41" t="b">
        <f t="shared" si="11"/>
        <v>1</v>
      </c>
      <c r="O41" t="b">
        <f t="shared" si="12"/>
        <v>1</v>
      </c>
      <c r="P41" t="b">
        <f t="shared" si="13"/>
        <v>1</v>
      </c>
    </row>
    <row r="42" spans="1:16">
      <c r="A42">
        <v>2</v>
      </c>
      <c r="B42" s="3">
        <v>40</v>
      </c>
      <c r="C42">
        <f t="shared" si="14"/>
        <v>120</v>
      </c>
      <c r="D42" s="5">
        <f t="shared" si="15"/>
        <v>160</v>
      </c>
      <c r="E42" s="5">
        <f t="shared" si="16"/>
        <v>3</v>
      </c>
      <c r="F42" s="2" t="s">
        <v>6</v>
      </c>
      <c r="H42" t="b">
        <f t="shared" si="7"/>
        <v>1</v>
      </c>
      <c r="K42" t="b">
        <f t="shared" si="8"/>
        <v>1</v>
      </c>
      <c r="L42" t="b">
        <f t="shared" si="9"/>
        <v>1</v>
      </c>
      <c r="M42" t="b">
        <f t="shared" si="10"/>
        <v>1</v>
      </c>
      <c r="N42" t="b">
        <f t="shared" si="11"/>
        <v>1</v>
      </c>
      <c r="O42" t="b">
        <f t="shared" si="12"/>
        <v>1</v>
      </c>
      <c r="P42" t="b">
        <f t="shared" si="13"/>
        <v>1</v>
      </c>
    </row>
    <row r="43" spans="1:16">
      <c r="A43">
        <v>2</v>
      </c>
      <c r="B43" s="4">
        <v>200</v>
      </c>
      <c r="C43">
        <f t="shared" si="14"/>
        <v>800</v>
      </c>
      <c r="D43" s="5">
        <f>SUM(B43:C43)</f>
        <v>1000</v>
      </c>
      <c r="E43" s="5">
        <f t="shared" si="16"/>
        <v>4</v>
      </c>
      <c r="F43" s="2" t="s">
        <v>6</v>
      </c>
      <c r="H43" t="b">
        <f t="shared" si="7"/>
        <v>1</v>
      </c>
      <c r="K43" t="b">
        <f t="shared" si="8"/>
        <v>1</v>
      </c>
      <c r="L43" t="b">
        <f t="shared" si="9"/>
        <v>1</v>
      </c>
      <c r="M43" t="b">
        <f t="shared" si="10"/>
        <v>1</v>
      </c>
      <c r="N43" t="b">
        <f t="shared" si="11"/>
        <v>1</v>
      </c>
      <c r="O43" t="b">
        <f t="shared" si="12"/>
        <v>1</v>
      </c>
      <c r="P43" t="b">
        <f t="shared" si="13"/>
        <v>1</v>
      </c>
    </row>
    <row r="44" spans="1:16">
      <c r="A44">
        <v>2</v>
      </c>
      <c r="B44" s="2">
        <v>300</v>
      </c>
      <c r="C44">
        <f t="shared" si="14"/>
        <v>3000</v>
      </c>
      <c r="D44" s="6">
        <f t="shared" si="15"/>
        <v>3300</v>
      </c>
      <c r="E44" s="6">
        <f t="shared" si="16"/>
        <v>10</v>
      </c>
      <c r="F44" s="3" t="s">
        <v>6</v>
      </c>
      <c r="H44" t="b">
        <f t="shared" si="7"/>
        <v>1</v>
      </c>
      <c r="K44" t="b">
        <f t="shared" si="8"/>
        <v>1</v>
      </c>
      <c r="L44" t="b">
        <f t="shared" si="9"/>
        <v>1</v>
      </c>
      <c r="M44" t="b">
        <f t="shared" si="10"/>
        <v>1</v>
      </c>
      <c r="N44" t="b">
        <f t="shared" si="11"/>
        <v>1</v>
      </c>
      <c r="O44" t="b">
        <f t="shared" si="12"/>
        <v>1</v>
      </c>
      <c r="P44" t="b">
        <f t="shared" si="13"/>
        <v>1</v>
      </c>
    </row>
    <row r="45" spans="1:16">
      <c r="A45">
        <v>2</v>
      </c>
      <c r="B45" s="2">
        <v>20</v>
      </c>
      <c r="C45">
        <f t="shared" si="14"/>
        <v>300</v>
      </c>
      <c r="D45" s="6">
        <f t="shared" si="15"/>
        <v>320</v>
      </c>
      <c r="E45" s="6">
        <f t="shared" si="16"/>
        <v>15</v>
      </c>
      <c r="F45" s="3" t="s">
        <v>6</v>
      </c>
      <c r="H45" t="b">
        <f t="shared" si="7"/>
        <v>1</v>
      </c>
      <c r="K45" t="b">
        <f t="shared" si="8"/>
        <v>1</v>
      </c>
      <c r="L45" t="b">
        <f t="shared" si="9"/>
        <v>1</v>
      </c>
      <c r="M45" t="b">
        <f t="shared" si="10"/>
        <v>1</v>
      </c>
      <c r="N45" t="b">
        <f t="shared" si="11"/>
        <v>1</v>
      </c>
      <c r="O45" t="b">
        <f t="shared" si="12"/>
        <v>1</v>
      </c>
      <c r="P45" t="b">
        <f t="shared" si="13"/>
        <v>1</v>
      </c>
    </row>
    <row r="46" spans="1:16">
      <c r="A46">
        <v>2</v>
      </c>
      <c r="B46" s="2">
        <v>10</v>
      </c>
      <c r="C46">
        <f t="shared" si="14"/>
        <v>200</v>
      </c>
      <c r="D46" s="6">
        <f t="shared" si="15"/>
        <v>210</v>
      </c>
      <c r="E46" s="6">
        <f t="shared" si="16"/>
        <v>20</v>
      </c>
      <c r="F46" s="3" t="s">
        <v>6</v>
      </c>
      <c r="H46" t="b">
        <f t="shared" si="7"/>
        <v>1</v>
      </c>
      <c r="K46" t="b">
        <f t="shared" si="8"/>
        <v>1</v>
      </c>
      <c r="L46" t="b">
        <f t="shared" si="9"/>
        <v>1</v>
      </c>
      <c r="M46" t="b">
        <f t="shared" si="10"/>
        <v>1</v>
      </c>
      <c r="N46" t="b">
        <f t="shared" si="11"/>
        <v>1</v>
      </c>
      <c r="O46" t="b">
        <f t="shared" si="12"/>
        <v>1</v>
      </c>
      <c r="P46" t="b">
        <f t="shared" si="13"/>
        <v>1</v>
      </c>
    </row>
    <row r="47" spans="1:16">
      <c r="A47">
        <v>2</v>
      </c>
      <c r="B47" s="4">
        <v>10</v>
      </c>
      <c r="C47">
        <f t="shared" si="14"/>
        <v>500</v>
      </c>
      <c r="D47" s="6">
        <f t="shared" si="15"/>
        <v>510</v>
      </c>
      <c r="E47" s="6">
        <f t="shared" si="16"/>
        <v>50</v>
      </c>
      <c r="F47" s="3" t="s">
        <v>6</v>
      </c>
      <c r="H47" t="b">
        <f t="shared" si="7"/>
        <v>1</v>
      </c>
      <c r="K47" t="b">
        <f t="shared" si="8"/>
        <v>1</v>
      </c>
      <c r="L47" t="b">
        <f t="shared" si="9"/>
        <v>1</v>
      </c>
      <c r="M47" t="b">
        <f t="shared" si="10"/>
        <v>1</v>
      </c>
      <c r="N47" t="b">
        <f t="shared" si="11"/>
        <v>1</v>
      </c>
      <c r="O47" t="b">
        <f t="shared" si="12"/>
        <v>1</v>
      </c>
      <c r="P47" t="b">
        <f t="shared" si="13"/>
        <v>1</v>
      </c>
    </row>
    <row r="48" spans="1:16">
      <c r="A48">
        <v>2</v>
      </c>
      <c r="B48" s="4">
        <v>30</v>
      </c>
      <c r="C48">
        <f t="shared" si="14"/>
        <v>3000</v>
      </c>
      <c r="D48" s="6">
        <f t="shared" si="15"/>
        <v>3030</v>
      </c>
      <c r="E48" s="6">
        <f t="shared" si="16"/>
        <v>100</v>
      </c>
      <c r="F48" s="3" t="s">
        <v>6</v>
      </c>
      <c r="H48" t="b">
        <f t="shared" si="7"/>
        <v>1</v>
      </c>
      <c r="K48" t="b">
        <f t="shared" si="8"/>
        <v>1</v>
      </c>
      <c r="L48" t="b">
        <f t="shared" si="9"/>
        <v>1</v>
      </c>
      <c r="M48" t="b">
        <f t="shared" si="10"/>
        <v>1</v>
      </c>
      <c r="N48" t="b">
        <f t="shared" si="11"/>
        <v>1</v>
      </c>
      <c r="O48" t="b">
        <f t="shared" si="12"/>
        <v>1</v>
      </c>
      <c r="P48" t="b">
        <f t="shared" si="13"/>
        <v>1</v>
      </c>
    </row>
    <row r="49" spans="1:16">
      <c r="A49">
        <v>2</v>
      </c>
      <c r="B49" s="3">
        <v>40</v>
      </c>
      <c r="C49">
        <f t="shared" si="14"/>
        <v>20000</v>
      </c>
      <c r="D49" s="7">
        <f t="shared" si="15"/>
        <v>20040</v>
      </c>
      <c r="E49" s="7">
        <f t="shared" si="16"/>
        <v>500</v>
      </c>
      <c r="F49" s="4" t="s">
        <v>6</v>
      </c>
      <c r="H49" t="b">
        <f t="shared" si="7"/>
        <v>1</v>
      </c>
      <c r="K49" t="b">
        <f t="shared" si="8"/>
        <v>1</v>
      </c>
      <c r="L49" t="b">
        <f t="shared" si="9"/>
        <v>1</v>
      </c>
      <c r="M49" t="b">
        <f t="shared" si="10"/>
        <v>1</v>
      </c>
      <c r="N49" t="b">
        <f t="shared" si="11"/>
        <v>1</v>
      </c>
      <c r="O49" t="b">
        <f t="shared" si="12"/>
        <v>1</v>
      </c>
      <c r="P49" t="b">
        <f t="shared" si="13"/>
        <v>1</v>
      </c>
    </row>
    <row r="50" spans="1:16">
      <c r="A50">
        <v>2</v>
      </c>
      <c r="B50" s="2">
        <v>20</v>
      </c>
      <c r="C50">
        <f t="shared" si="14"/>
        <v>40000</v>
      </c>
      <c r="D50" s="7">
        <f>SUM(B50:C50)</f>
        <v>40020</v>
      </c>
      <c r="E50" s="7">
        <f t="shared" si="16"/>
        <v>2000</v>
      </c>
      <c r="F50" s="4" t="s">
        <v>6</v>
      </c>
      <c r="H50" t="b">
        <f t="shared" si="7"/>
        <v>1</v>
      </c>
      <c r="K50" t="b">
        <f t="shared" si="8"/>
        <v>1</v>
      </c>
      <c r="L50" t="b">
        <f t="shared" si="9"/>
        <v>1</v>
      </c>
      <c r="M50" t="b">
        <f t="shared" si="10"/>
        <v>1</v>
      </c>
      <c r="N50" t="b">
        <f t="shared" si="11"/>
        <v>1</v>
      </c>
      <c r="O50" t="b">
        <f t="shared" si="12"/>
        <v>1</v>
      </c>
      <c r="P50" t="b">
        <f t="shared" si="13"/>
        <v>1</v>
      </c>
    </row>
    <row r="51" spans="1:16">
      <c r="A51">
        <v>2</v>
      </c>
      <c r="B51" s="3">
        <v>100</v>
      </c>
      <c r="C51">
        <f t="shared" si="14"/>
        <v>1000000</v>
      </c>
      <c r="D51" s="7">
        <f>SUM(B51:C51)</f>
        <v>1000100</v>
      </c>
      <c r="E51" s="7">
        <f t="shared" si="16"/>
        <v>10000</v>
      </c>
      <c r="F51" s="4" t="s">
        <v>6</v>
      </c>
      <c r="H51" t="b">
        <f t="shared" si="7"/>
        <v>1</v>
      </c>
      <c r="K51" t="b">
        <f t="shared" si="8"/>
        <v>1</v>
      </c>
      <c r="L51" t="b">
        <f t="shared" si="9"/>
        <v>1</v>
      </c>
      <c r="M51" t="b">
        <f t="shared" si="10"/>
        <v>1</v>
      </c>
      <c r="N51" t="b">
        <f t="shared" si="11"/>
        <v>1</v>
      </c>
      <c r="O51" t="b">
        <f t="shared" si="12"/>
        <v>1</v>
      </c>
      <c r="P51" t="b">
        <f t="shared" si="13"/>
        <v>1</v>
      </c>
    </row>
    <row r="54" spans="1:16">
      <c r="B54" t="s">
        <v>7</v>
      </c>
      <c r="C54" t="s">
        <v>8</v>
      </c>
      <c r="D54" t="s">
        <v>8</v>
      </c>
      <c r="E54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number_conds_tmp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Endress, Ansgar</cp:lastModifiedBy>
  <dcterms:created xsi:type="dcterms:W3CDTF">2023-10-12T16:42:22Z</dcterms:created>
  <dcterms:modified xsi:type="dcterms:W3CDTF">2025-07-21T12:42:47Z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6c24981-b6df-48f8-949b-0896357b9b03_Enabled">
    <vt:lpwstr>true</vt:lpwstr>
  </property>
  <property fmtid="{D5CDD505-2E9C-101B-9397-08002B2CF9AE}" pid="3" name="MSIP_Label_06c24981-b6df-48f8-949b-0896357b9b03_SetDate">
    <vt:lpwstr>2023-10-12T16:42:55Z</vt:lpwstr>
  </property>
  <property fmtid="{D5CDD505-2E9C-101B-9397-08002B2CF9AE}" pid="4" name="MSIP_Label_06c24981-b6df-48f8-949b-0896357b9b03_Method">
    <vt:lpwstr>Standard</vt:lpwstr>
  </property>
  <property fmtid="{D5CDD505-2E9C-101B-9397-08002B2CF9AE}" pid="5" name="MSIP_Label_06c24981-b6df-48f8-949b-0896357b9b03_Name">
    <vt:lpwstr>Official</vt:lpwstr>
  </property>
  <property fmtid="{D5CDD505-2E9C-101B-9397-08002B2CF9AE}" pid="6" name="MSIP_Label_06c24981-b6df-48f8-949b-0896357b9b03_SiteId">
    <vt:lpwstr>dd615949-5bd0-4da0-ac52-28ef8d336373</vt:lpwstr>
  </property>
  <property fmtid="{D5CDD505-2E9C-101B-9397-08002B2CF9AE}" pid="7" name="MSIP_Label_06c24981-b6df-48f8-949b-0896357b9b03_ActionId">
    <vt:lpwstr>92b5e522-5688-451c-9096-f314100fa0df</vt:lpwstr>
  </property>
  <property fmtid="{D5CDD505-2E9C-101B-9397-08002B2CF9AE}" pid="8" name="MSIP_Label_06c24981-b6df-48f8-949b-0896357b9b03_ContentBits">
    <vt:lpwstr>0</vt:lpwstr>
  </property>
</Properties>
</file>